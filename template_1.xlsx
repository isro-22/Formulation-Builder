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/Users/muhammadisro/Documents/Codex/SAAT Working/03 Formulation Sheet Creation/references/"/>
    </mc:Choice>
  </mc:AlternateContent>
  <xr:revisionPtr revIDLastSave="0" documentId="8_{C774ED46-D4CF-B549-92BC-A56AAA1CF5C3}" xr6:coauthVersionLast="47" xr6:coauthVersionMax="47" xr10:uidLastSave="{00000000-0000-0000-0000-000000000000}"/>
  <bookViews>
    <workbookView xWindow="0" yWindow="600" windowWidth="28800" windowHeight="16620" xr2:uid="{3CF89A3D-8B91-47A5-894E-BF1404D2E081}"/>
  </bookViews>
  <sheets>
    <sheet name="SAAT 777 (ORI)" sheetId="18" r:id="rId1"/>
  </sheets>
  <definedNames>
    <definedName name="_56F9DC9755BA473782653E2940F9FormId">"AzK4OHhtp0mlsDUb0BU_snWPKUEeVnJGu40xqgda4pFUMDRRR0xQQ0pJQ0JFSjhCWVU2RjMwVlhEMiQlQCN0PWcu"</definedName>
    <definedName name="_56F9DC9755BA473782653E2940F9ResponseSheet">"Form1"</definedName>
    <definedName name="_56F9DC9755BA473782653E2940F9SourceDocId">"{3c66c1ab-290f-4688-a3eb-2abb5b5549e5}"</definedName>
    <definedName name="abc">#REF!</definedName>
    <definedName name="BlendSpecs">#REF!</definedName>
    <definedName name="ChemicalNameList">#REF!</definedName>
    <definedName name="Coral">#REF!</definedName>
    <definedName name="ded">#REF!</definedName>
    <definedName name="FC_Casing">#REF!</definedName>
    <definedName name="FILTER">#REF!</definedName>
    <definedName name="NewCasing">#REF!</definedName>
    <definedName name="_xlnm.Print_Area">#REF!</definedName>
    <definedName name="SAMPLE">#REF!</definedName>
    <definedName name="Sheet2">#REF!</definedName>
    <definedName name="Surve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6" i="18" l="1"/>
  <c r="E225" i="18"/>
  <c r="E224" i="18"/>
  <c r="E223" i="18"/>
  <c r="E222" i="18"/>
  <c r="E221" i="18"/>
  <c r="E220" i="18"/>
  <c r="E218" i="18"/>
  <c r="E217" i="18"/>
  <c r="E216" i="18"/>
  <c r="E215" i="18"/>
  <c r="E214" i="18"/>
  <c r="G260" i="18"/>
  <c r="F259" i="18"/>
  <c r="E259" i="18"/>
  <c r="B259" i="18"/>
  <c r="I259" i="18" s="1"/>
  <c r="J259" i="18" s="1"/>
  <c r="F258" i="18"/>
  <c r="E258" i="18"/>
  <c r="B258" i="18"/>
  <c r="I258" i="18" s="1"/>
  <c r="J258" i="18" s="1"/>
  <c r="F257" i="18"/>
  <c r="E257" i="18"/>
  <c r="B257" i="18"/>
  <c r="I257" i="18" s="1"/>
  <c r="J257" i="18" s="1"/>
  <c r="F256" i="18"/>
  <c r="E256" i="18"/>
  <c r="B256" i="18"/>
  <c r="I256" i="18" s="1"/>
  <c r="J256" i="18" s="1"/>
  <c r="F255" i="18"/>
  <c r="E255" i="18"/>
  <c r="B255" i="18"/>
  <c r="I255" i="18" s="1"/>
  <c r="J255" i="18" s="1"/>
  <c r="F254" i="18"/>
  <c r="E254" i="18"/>
  <c r="B254" i="18"/>
  <c r="I254" i="18" s="1"/>
  <c r="J254" i="18" s="1"/>
  <c r="F253" i="18"/>
  <c r="E253" i="18"/>
  <c r="B253" i="18"/>
  <c r="I253" i="18" s="1"/>
  <c r="J253" i="18" s="1"/>
  <c r="F252" i="18"/>
  <c r="E252" i="18"/>
  <c r="B252" i="18"/>
  <c r="I252" i="18" s="1"/>
  <c r="J252" i="18" s="1"/>
  <c r="F251" i="18"/>
  <c r="E251" i="18"/>
  <c r="B251" i="18"/>
  <c r="I251" i="18" s="1"/>
  <c r="J251" i="18" s="1"/>
  <c r="F250" i="18"/>
  <c r="E250" i="18"/>
  <c r="B250" i="18"/>
  <c r="I250" i="18" s="1"/>
  <c r="J250" i="18" s="1"/>
  <c r="F249" i="18"/>
  <c r="E249" i="18"/>
  <c r="B249" i="18"/>
  <c r="I249" i="18" s="1"/>
  <c r="J249" i="18" s="1"/>
  <c r="F248" i="18"/>
  <c r="E248" i="18"/>
  <c r="B248" i="18"/>
  <c r="I248" i="18" s="1"/>
  <c r="J248" i="18" s="1"/>
  <c r="F247" i="18"/>
  <c r="E247" i="18"/>
  <c r="B247" i="18"/>
  <c r="I247" i="18" s="1"/>
  <c r="J247" i="18" s="1"/>
  <c r="F246" i="18"/>
  <c r="E246" i="18"/>
  <c r="B246" i="18"/>
  <c r="I246" i="18" s="1"/>
  <c r="J246" i="18" s="1"/>
  <c r="F245" i="18"/>
  <c r="E245" i="18"/>
  <c r="B245" i="18"/>
  <c r="I245" i="18" s="1"/>
  <c r="J245" i="18" s="1"/>
  <c r="F244" i="18"/>
  <c r="E244" i="18"/>
  <c r="B244" i="18"/>
  <c r="I244" i="18" s="1"/>
  <c r="J244" i="18" s="1"/>
  <c r="F243" i="18"/>
  <c r="E243" i="18"/>
  <c r="B243" i="18"/>
  <c r="I243" i="18" s="1"/>
  <c r="J243" i="18" s="1"/>
  <c r="F242" i="18"/>
  <c r="E242" i="18"/>
  <c r="B242" i="18"/>
  <c r="I242" i="18" s="1"/>
  <c r="J242" i="18" s="1"/>
  <c r="F241" i="18"/>
  <c r="E241" i="18"/>
  <c r="B241" i="18"/>
  <c r="I241" i="18" s="1"/>
  <c r="J241" i="18" s="1"/>
  <c r="F240" i="18"/>
  <c r="E240" i="18"/>
  <c r="B240" i="18"/>
  <c r="I240" i="18" s="1"/>
  <c r="J240" i="18" s="1"/>
  <c r="F239" i="18"/>
  <c r="E239" i="18"/>
  <c r="B239" i="18"/>
  <c r="I239" i="18" s="1"/>
  <c r="J239" i="18" s="1"/>
  <c r="F238" i="18"/>
  <c r="E238" i="18"/>
  <c r="B238" i="18"/>
  <c r="I238" i="18" s="1"/>
  <c r="J238" i="18" s="1"/>
  <c r="F237" i="18"/>
  <c r="E237" i="18"/>
  <c r="B237" i="18"/>
  <c r="I237" i="18" s="1"/>
  <c r="J237" i="18" s="1"/>
  <c r="F236" i="18"/>
  <c r="E236" i="18"/>
  <c r="B236" i="18"/>
  <c r="I236" i="18" s="1"/>
  <c r="J236" i="18" s="1"/>
  <c r="F235" i="18"/>
  <c r="E235" i="18"/>
  <c r="B235" i="18"/>
  <c r="I235" i="18" s="1"/>
  <c r="J235" i="18" s="1"/>
  <c r="F234" i="18"/>
  <c r="B234" i="18"/>
  <c r="I234" i="18" s="1"/>
  <c r="J234" i="18" s="1"/>
  <c r="F233" i="18"/>
  <c r="B233" i="18"/>
  <c r="I233" i="18" s="1"/>
  <c r="J233" i="18" s="1"/>
  <c r="F232" i="18"/>
  <c r="B232" i="18"/>
  <c r="I232" i="18" s="1"/>
  <c r="J232" i="18" s="1"/>
  <c r="F231" i="18"/>
  <c r="B231" i="18"/>
  <c r="I231" i="18" s="1"/>
  <c r="J231" i="18" s="1"/>
  <c r="F230" i="18"/>
  <c r="B230" i="18"/>
  <c r="I230" i="18" s="1"/>
  <c r="J230" i="18" s="1"/>
  <c r="F229" i="18"/>
  <c r="B229" i="18"/>
  <c r="I229" i="18" s="1"/>
  <c r="J229" i="18" s="1"/>
  <c r="F228" i="18"/>
  <c r="B228" i="18"/>
  <c r="I228" i="18" s="1"/>
  <c r="J228" i="18" s="1"/>
  <c r="F227" i="18"/>
  <c r="B227" i="18"/>
  <c r="I227" i="18" s="1"/>
  <c r="J227" i="18" s="1"/>
  <c r="B226" i="18"/>
  <c r="I226" i="18" s="1"/>
  <c r="J226" i="18" s="1"/>
  <c r="B225" i="18"/>
  <c r="I225" i="18" s="1"/>
  <c r="J225" i="18" s="1"/>
  <c r="B224" i="18"/>
  <c r="I224" i="18" s="1"/>
  <c r="J224" i="18" s="1"/>
  <c r="F223" i="18"/>
  <c r="B223" i="18"/>
  <c r="I223" i="18" s="1"/>
  <c r="J223" i="18" s="1"/>
  <c r="F222" i="18"/>
  <c r="B222" i="18"/>
  <c r="I222" i="18" s="1"/>
  <c r="J222" i="18" s="1"/>
  <c r="F221" i="18"/>
  <c r="B221" i="18"/>
  <c r="I221" i="18" s="1"/>
  <c r="J221" i="18" s="1"/>
  <c r="I220" i="18"/>
  <c r="J220" i="18" s="1"/>
  <c r="F220" i="18"/>
  <c r="B220" i="18"/>
  <c r="F219" i="18"/>
  <c r="B219" i="18"/>
  <c r="I219" i="18" s="1"/>
  <c r="J219" i="18" s="1"/>
  <c r="F218" i="18"/>
  <c r="B218" i="18"/>
  <c r="I218" i="18" s="1"/>
  <c r="J218" i="18" s="1"/>
  <c r="F217" i="18"/>
  <c r="B217" i="18"/>
  <c r="I217" i="18" s="1"/>
  <c r="J217" i="18" s="1"/>
  <c r="F216" i="18"/>
  <c r="B216" i="18"/>
  <c r="I216" i="18" s="1"/>
  <c r="J216" i="18" s="1"/>
  <c r="F215" i="18"/>
  <c r="B215" i="18"/>
  <c r="I215" i="18" s="1"/>
  <c r="J215" i="18" s="1"/>
  <c r="F214" i="18"/>
  <c r="B214" i="18"/>
  <c r="I214" i="18" s="1"/>
  <c r="J214" i="18" s="1"/>
  <c r="F213" i="18"/>
  <c r="E213" i="18"/>
  <c r="B213" i="18"/>
  <c r="I213" i="18" s="1"/>
  <c r="J213" i="18" s="1"/>
  <c r="F212" i="18"/>
  <c r="E212" i="18"/>
  <c r="B212" i="18"/>
  <c r="I212" i="18" s="1"/>
  <c r="J212" i="18" s="1"/>
  <c r="C83" i="18"/>
  <c r="B83" i="18"/>
  <c r="C82" i="18"/>
  <c r="B82" i="18"/>
  <c r="G205" i="18"/>
  <c r="F204" i="18"/>
  <c r="E204" i="18"/>
  <c r="B204" i="18"/>
  <c r="I204" i="18" s="1"/>
  <c r="J204" i="18" s="1"/>
  <c r="F203" i="18"/>
  <c r="E203" i="18"/>
  <c r="B203" i="18"/>
  <c r="I203" i="18" s="1"/>
  <c r="J203" i="18" s="1"/>
  <c r="F202" i="18"/>
  <c r="E202" i="18"/>
  <c r="B202" i="18"/>
  <c r="I202" i="18" s="1"/>
  <c r="J202" i="18" s="1"/>
  <c r="F201" i="18"/>
  <c r="E201" i="18"/>
  <c r="B201" i="18"/>
  <c r="I201" i="18" s="1"/>
  <c r="J201" i="18" s="1"/>
  <c r="F200" i="18"/>
  <c r="E200" i="18"/>
  <c r="B200" i="18"/>
  <c r="I200" i="18" s="1"/>
  <c r="J200" i="18" s="1"/>
  <c r="F199" i="18"/>
  <c r="E199" i="18"/>
  <c r="B199" i="18"/>
  <c r="I199" i="18" s="1"/>
  <c r="J199" i="18" s="1"/>
  <c r="F198" i="18"/>
  <c r="E198" i="18"/>
  <c r="B198" i="18"/>
  <c r="I198" i="18" s="1"/>
  <c r="J198" i="18" s="1"/>
  <c r="F197" i="18"/>
  <c r="E197" i="18"/>
  <c r="B197" i="18"/>
  <c r="I197" i="18" s="1"/>
  <c r="J197" i="18" s="1"/>
  <c r="F196" i="18"/>
  <c r="E196" i="18"/>
  <c r="B196" i="18"/>
  <c r="I196" i="18" s="1"/>
  <c r="J196" i="18" s="1"/>
  <c r="F195" i="18"/>
  <c r="E195" i="18"/>
  <c r="B195" i="18"/>
  <c r="I195" i="18" s="1"/>
  <c r="J195" i="18" s="1"/>
  <c r="F194" i="18"/>
  <c r="E194" i="18"/>
  <c r="B194" i="18"/>
  <c r="I194" i="18" s="1"/>
  <c r="J194" i="18" s="1"/>
  <c r="F193" i="18"/>
  <c r="E193" i="18"/>
  <c r="B193" i="18"/>
  <c r="I193" i="18" s="1"/>
  <c r="J193" i="18" s="1"/>
  <c r="F192" i="18"/>
  <c r="E192" i="18"/>
  <c r="B192" i="18"/>
  <c r="I192" i="18" s="1"/>
  <c r="J192" i="18" s="1"/>
  <c r="F191" i="18"/>
  <c r="E191" i="18"/>
  <c r="B191" i="18"/>
  <c r="I191" i="18" s="1"/>
  <c r="J191" i="18" s="1"/>
  <c r="F190" i="18"/>
  <c r="E190" i="18"/>
  <c r="B190" i="18"/>
  <c r="I190" i="18" s="1"/>
  <c r="J190" i="18" s="1"/>
  <c r="F189" i="18"/>
  <c r="E189" i="18"/>
  <c r="B189" i="18"/>
  <c r="I189" i="18" s="1"/>
  <c r="J189" i="18" s="1"/>
  <c r="F188" i="18"/>
  <c r="E188" i="18"/>
  <c r="B188" i="18"/>
  <c r="I188" i="18" s="1"/>
  <c r="J188" i="18" s="1"/>
  <c r="F187" i="18"/>
  <c r="E187" i="18"/>
  <c r="B187" i="18"/>
  <c r="I187" i="18" s="1"/>
  <c r="J187" i="18" s="1"/>
  <c r="F186" i="18"/>
  <c r="E186" i="18"/>
  <c r="B186" i="18"/>
  <c r="I186" i="18" s="1"/>
  <c r="J186" i="18" s="1"/>
  <c r="F185" i="18"/>
  <c r="E185" i="18"/>
  <c r="B185" i="18"/>
  <c r="I185" i="18" s="1"/>
  <c r="J185" i="18" s="1"/>
  <c r="J205" i="18" s="1"/>
  <c r="I82" i="18" s="1"/>
  <c r="G178" i="18"/>
  <c r="C81" i="18"/>
  <c r="B81" i="18"/>
  <c r="B177" i="18"/>
  <c r="I177" i="18" s="1"/>
  <c r="J177" i="18" s="1"/>
  <c r="B176" i="18"/>
  <c r="I176" i="18" s="1"/>
  <c r="J176" i="18" s="1"/>
  <c r="B175" i="18"/>
  <c r="I175" i="18" s="1"/>
  <c r="J175" i="18" s="1"/>
  <c r="B174" i="18"/>
  <c r="I174" i="18" s="1"/>
  <c r="J174" i="18" s="1"/>
  <c r="B173" i="18"/>
  <c r="I173" i="18" s="1"/>
  <c r="J173" i="18" s="1"/>
  <c r="B172" i="18"/>
  <c r="I172" i="18" s="1"/>
  <c r="J172" i="18" s="1"/>
  <c r="B171" i="18"/>
  <c r="I171" i="18" s="1"/>
  <c r="J171" i="18" s="1"/>
  <c r="B170" i="18"/>
  <c r="B169" i="18"/>
  <c r="I169" i="18" s="1"/>
  <c r="J169" i="18" s="1"/>
  <c r="B168" i="18"/>
  <c r="I168" i="18" s="1"/>
  <c r="J168" i="18" s="1"/>
  <c r="B167" i="18"/>
  <c r="I167" i="18" s="1"/>
  <c r="J167" i="18" s="1"/>
  <c r="B166" i="18"/>
  <c r="I166" i="18" s="1"/>
  <c r="J166" i="18" s="1"/>
  <c r="F177" i="18"/>
  <c r="E177" i="18"/>
  <c r="F176" i="18"/>
  <c r="E176" i="18"/>
  <c r="F175" i="18"/>
  <c r="E175" i="18"/>
  <c r="F174" i="18"/>
  <c r="E174" i="18"/>
  <c r="F173" i="18"/>
  <c r="E173" i="18"/>
  <c r="F172" i="18"/>
  <c r="E172" i="18"/>
  <c r="F171" i="18"/>
  <c r="E171" i="18"/>
  <c r="I170" i="18"/>
  <c r="J170" i="18" s="1"/>
  <c r="F170" i="18"/>
  <c r="E170" i="18"/>
  <c r="F169" i="18"/>
  <c r="E169" i="18"/>
  <c r="F168" i="18"/>
  <c r="E168" i="18"/>
  <c r="F167" i="18"/>
  <c r="E167" i="18"/>
  <c r="F166" i="18"/>
  <c r="E166" i="18"/>
  <c r="C80" i="18"/>
  <c r="B80" i="18"/>
  <c r="C156" i="18"/>
  <c r="B156" i="18"/>
  <c r="G159" i="18"/>
  <c r="J143" i="18"/>
  <c r="E158" i="18"/>
  <c r="E157" i="18"/>
  <c r="E152" i="18"/>
  <c r="E151" i="18"/>
  <c r="E149" i="18"/>
  <c r="E148" i="18"/>
  <c r="E147" i="18"/>
  <c r="E146" i="18"/>
  <c r="E145" i="18"/>
  <c r="E144" i="18"/>
  <c r="E143" i="18"/>
  <c r="E142" i="18"/>
  <c r="E141" i="18"/>
  <c r="E140" i="18"/>
  <c r="E139" i="18"/>
  <c r="E138" i="18"/>
  <c r="E137" i="18"/>
  <c r="E136" i="18"/>
  <c r="E135" i="18"/>
  <c r="E134" i="18"/>
  <c r="E133" i="18"/>
  <c r="E132" i="18"/>
  <c r="E131" i="18"/>
  <c r="E130" i="18"/>
  <c r="E129" i="18"/>
  <c r="E128" i="18"/>
  <c r="E127" i="18"/>
  <c r="E126" i="18"/>
  <c r="E125" i="18"/>
  <c r="E124" i="18"/>
  <c r="E123" i="18"/>
  <c r="E122" i="18"/>
  <c r="I158" i="18"/>
  <c r="J158" i="18" s="1"/>
  <c r="I157" i="18"/>
  <c r="J157" i="18" s="1"/>
  <c r="J155" i="18"/>
  <c r="I154" i="18"/>
  <c r="J154" i="18" s="1"/>
  <c r="I153" i="18"/>
  <c r="J153" i="18" s="1"/>
  <c r="I152" i="18"/>
  <c r="J152" i="18" s="1"/>
  <c r="I151" i="18"/>
  <c r="J151" i="18" s="1"/>
  <c r="J150" i="18"/>
  <c r="I149" i="18"/>
  <c r="J149" i="18" s="1"/>
  <c r="I148" i="18"/>
  <c r="J148" i="18" s="1"/>
  <c r="I147" i="18"/>
  <c r="J147" i="18" s="1"/>
  <c r="I146" i="18"/>
  <c r="J146" i="18" s="1"/>
  <c r="I145" i="18"/>
  <c r="J145" i="18" s="1"/>
  <c r="I144" i="18"/>
  <c r="J144" i="18" s="1"/>
  <c r="I142" i="18"/>
  <c r="J142" i="18" s="1"/>
  <c r="I141" i="18"/>
  <c r="J141" i="18" s="1"/>
  <c r="I140" i="18"/>
  <c r="J140" i="18" s="1"/>
  <c r="I139" i="18"/>
  <c r="J139" i="18" s="1"/>
  <c r="I138" i="18"/>
  <c r="J138" i="18" s="1"/>
  <c r="I137" i="18"/>
  <c r="J137" i="18" s="1"/>
  <c r="I136" i="18"/>
  <c r="J136" i="18" s="1"/>
  <c r="I135" i="18"/>
  <c r="J135" i="18" s="1"/>
  <c r="I134" i="18"/>
  <c r="J134" i="18" s="1"/>
  <c r="I133" i="18"/>
  <c r="J133" i="18" s="1"/>
  <c r="I132" i="18"/>
  <c r="J132" i="18" s="1"/>
  <c r="I131" i="18"/>
  <c r="J131" i="18" s="1"/>
  <c r="I130" i="18"/>
  <c r="J130" i="18" s="1"/>
  <c r="I129" i="18"/>
  <c r="J129" i="18" s="1"/>
  <c r="I128" i="18"/>
  <c r="J128" i="18" s="1"/>
  <c r="J71" i="18"/>
  <c r="B70" i="18"/>
  <c r="B69" i="18"/>
  <c r="B68" i="18"/>
  <c r="B67" i="18"/>
  <c r="B66" i="18"/>
  <c r="B65" i="18"/>
  <c r="B64" i="18"/>
  <c r="B63" i="18"/>
  <c r="B62" i="18"/>
  <c r="B61" i="18"/>
  <c r="B60" i="18"/>
  <c r="B59" i="18"/>
  <c r="B58" i="18"/>
  <c r="J57" i="18"/>
  <c r="J56" i="18"/>
  <c r="B55" i="18"/>
  <c r="B54" i="18"/>
  <c r="B53" i="18"/>
  <c r="J44" i="18"/>
  <c r="J30" i="18"/>
  <c r="J29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28" i="18"/>
  <c r="B27" i="18"/>
  <c r="I109" i="18"/>
  <c r="J109" i="18" s="1"/>
  <c r="I127" i="18"/>
  <c r="J127" i="18" s="1"/>
  <c r="I126" i="18"/>
  <c r="J126" i="18" s="1"/>
  <c r="I125" i="18"/>
  <c r="J125" i="18" s="1"/>
  <c r="I124" i="18"/>
  <c r="J124" i="18" s="1"/>
  <c r="I123" i="18"/>
  <c r="J123" i="18" s="1"/>
  <c r="I122" i="18"/>
  <c r="J122" i="18" s="1"/>
  <c r="I121" i="18"/>
  <c r="J121" i="18" s="1"/>
  <c r="I120" i="18"/>
  <c r="J120" i="18" s="1"/>
  <c r="I119" i="18"/>
  <c r="J119" i="18" s="1"/>
  <c r="I118" i="18"/>
  <c r="J118" i="18" s="1"/>
  <c r="I117" i="18"/>
  <c r="J117" i="18" s="1"/>
  <c r="I116" i="18"/>
  <c r="J116" i="18" s="1"/>
  <c r="C18" i="18"/>
  <c r="F18" i="18" s="1"/>
  <c r="B26" i="18"/>
  <c r="C13" i="18"/>
  <c r="G72" i="18"/>
  <c r="G110" i="18"/>
  <c r="D89" i="18"/>
  <c r="B89" i="18"/>
  <c r="D88" i="18"/>
  <c r="B88" i="18"/>
  <c r="D87" i="18"/>
  <c r="B87" i="18"/>
  <c r="G45" i="18"/>
  <c r="J178" i="18" l="1"/>
  <c r="I81" i="18" s="1"/>
  <c r="J260" i="18"/>
  <c r="I83" i="18" s="1"/>
  <c r="F158" i="18"/>
  <c r="F157" i="18"/>
  <c r="F154" i="18"/>
  <c r="F153" i="18"/>
  <c r="F152" i="18"/>
  <c r="F151" i="18"/>
  <c r="F149" i="18"/>
  <c r="F148" i="18"/>
  <c r="F147" i="18"/>
  <c r="F146" i="18"/>
  <c r="F145" i="18"/>
  <c r="F144" i="18"/>
  <c r="F143" i="18"/>
  <c r="F142" i="18"/>
  <c r="F141" i="18"/>
  <c r="F140" i="18"/>
  <c r="F139" i="18"/>
  <c r="F138" i="18"/>
  <c r="F137" i="18"/>
  <c r="F136" i="18"/>
  <c r="F135" i="18"/>
  <c r="F134" i="18"/>
  <c r="F133" i="18"/>
  <c r="F132" i="18"/>
  <c r="F131" i="18"/>
  <c r="F130" i="18"/>
  <c r="F129" i="18"/>
  <c r="F128" i="18"/>
  <c r="H69" i="18"/>
  <c r="K69" i="18" s="1"/>
  <c r="H70" i="18"/>
  <c r="K70" i="18" s="1"/>
  <c r="H71" i="18"/>
  <c r="K71" i="18" s="1"/>
  <c r="H68" i="18"/>
  <c r="K68" i="18" s="1"/>
  <c r="H67" i="18"/>
  <c r="K67" i="18" s="1"/>
  <c r="H66" i="18"/>
  <c r="K66" i="18" s="1"/>
  <c r="H65" i="18"/>
  <c r="K65" i="18" s="1"/>
  <c r="H64" i="18"/>
  <c r="K64" i="18" s="1"/>
  <c r="H63" i="18"/>
  <c r="K63" i="18" s="1"/>
  <c r="H62" i="18"/>
  <c r="K62" i="18" s="1"/>
  <c r="H61" i="18"/>
  <c r="K61" i="18" s="1"/>
  <c r="H60" i="18"/>
  <c r="K60" i="18" s="1"/>
  <c r="H59" i="18"/>
  <c r="K59" i="18" s="1"/>
  <c r="H58" i="18"/>
  <c r="K58" i="18" s="1"/>
  <c r="H57" i="18"/>
  <c r="K57" i="18" s="1"/>
  <c r="H56" i="18"/>
  <c r="K56" i="18" s="1"/>
  <c r="H55" i="18"/>
  <c r="K55" i="18" s="1"/>
  <c r="H54" i="18"/>
  <c r="K54" i="18" s="1"/>
  <c r="H53" i="18"/>
  <c r="K53" i="18" s="1"/>
  <c r="I70" i="18"/>
  <c r="J70" i="18" s="1"/>
  <c r="F70" i="18"/>
  <c r="I69" i="18"/>
  <c r="J69" i="18" s="1"/>
  <c r="F69" i="18"/>
  <c r="E69" i="18"/>
  <c r="I68" i="18"/>
  <c r="J68" i="18" s="1"/>
  <c r="E68" i="18"/>
  <c r="F68" i="18"/>
  <c r="E67" i="18"/>
  <c r="F67" i="18"/>
  <c r="I67" i="18"/>
  <c r="J67" i="18" s="1"/>
  <c r="I66" i="18"/>
  <c r="J66" i="18" s="1"/>
  <c r="F66" i="18"/>
  <c r="E66" i="18"/>
  <c r="I65" i="18"/>
  <c r="J65" i="18" s="1"/>
  <c r="F65" i="18"/>
  <c r="E65" i="18"/>
  <c r="I64" i="18"/>
  <c r="J64" i="18" s="1"/>
  <c r="F64" i="18"/>
  <c r="I63" i="18"/>
  <c r="J63" i="18" s="1"/>
  <c r="E63" i="18"/>
  <c r="F63" i="18"/>
  <c r="E62" i="18"/>
  <c r="F62" i="18"/>
  <c r="I62" i="18"/>
  <c r="J62" i="18" s="1"/>
  <c r="E61" i="18"/>
  <c r="I61" i="18"/>
  <c r="J61" i="18" s="1"/>
  <c r="F61" i="18"/>
  <c r="I60" i="18"/>
  <c r="J60" i="18" s="1"/>
  <c r="F60" i="18"/>
  <c r="E60" i="18"/>
  <c r="E59" i="18"/>
  <c r="I59" i="18"/>
  <c r="J59" i="18" s="1"/>
  <c r="F59" i="18"/>
  <c r="E58" i="18"/>
  <c r="F58" i="18"/>
  <c r="I58" i="18"/>
  <c r="J58" i="18" s="1"/>
  <c r="I55" i="18"/>
  <c r="J55" i="18" s="1"/>
  <c r="E55" i="18"/>
  <c r="F55" i="18"/>
  <c r="E54" i="18"/>
  <c r="F54" i="18"/>
  <c r="I54" i="18"/>
  <c r="J54" i="18" s="1"/>
  <c r="I53" i="18"/>
  <c r="J53" i="18" s="1"/>
  <c r="F53" i="18"/>
  <c r="E53" i="18"/>
  <c r="I43" i="18"/>
  <c r="J43" i="18" s="1"/>
  <c r="F43" i="18"/>
  <c r="E42" i="18"/>
  <c r="I42" i="18"/>
  <c r="J42" i="18" s="1"/>
  <c r="F42" i="18"/>
  <c r="E41" i="18"/>
  <c r="I41" i="18"/>
  <c r="J41" i="18" s="1"/>
  <c r="F41" i="18"/>
  <c r="E40" i="18"/>
  <c r="I40" i="18"/>
  <c r="J40" i="18" s="1"/>
  <c r="F40" i="18"/>
  <c r="E39" i="18"/>
  <c r="I39" i="18"/>
  <c r="J39" i="18" s="1"/>
  <c r="F39" i="18"/>
  <c r="E38" i="18"/>
  <c r="I38" i="18"/>
  <c r="J38" i="18" s="1"/>
  <c r="F38" i="18"/>
  <c r="I37" i="18"/>
  <c r="J37" i="18" s="1"/>
  <c r="F37" i="18"/>
  <c r="E36" i="18"/>
  <c r="I36" i="18"/>
  <c r="J36" i="18" s="1"/>
  <c r="F36" i="18"/>
  <c r="E35" i="18"/>
  <c r="I35" i="18"/>
  <c r="J35" i="18" s="1"/>
  <c r="F35" i="18"/>
  <c r="E34" i="18"/>
  <c r="I34" i="18"/>
  <c r="J34" i="18" s="1"/>
  <c r="F34" i="18"/>
  <c r="E33" i="18"/>
  <c r="I33" i="18"/>
  <c r="J33" i="18" s="1"/>
  <c r="F33" i="18"/>
  <c r="E32" i="18"/>
  <c r="I32" i="18"/>
  <c r="J32" i="18" s="1"/>
  <c r="F32" i="18"/>
  <c r="E31" i="18"/>
  <c r="I31" i="18"/>
  <c r="J31" i="18" s="1"/>
  <c r="F31" i="18"/>
  <c r="E28" i="18"/>
  <c r="I28" i="18"/>
  <c r="J28" i="18" s="1"/>
  <c r="F28" i="18"/>
  <c r="E27" i="18"/>
  <c r="I27" i="18"/>
  <c r="J27" i="18" s="1"/>
  <c r="F27" i="18"/>
  <c r="H44" i="18"/>
  <c r="K44" i="18" s="1"/>
  <c r="H40" i="18"/>
  <c r="K40" i="18" s="1"/>
  <c r="H43" i="18"/>
  <c r="K43" i="18" s="1"/>
  <c r="H42" i="18"/>
  <c r="K42" i="18" s="1"/>
  <c r="H41" i="18"/>
  <c r="K41" i="18" s="1"/>
  <c r="F127" i="18"/>
  <c r="F126" i="18"/>
  <c r="F125" i="18"/>
  <c r="F124" i="18"/>
  <c r="F123" i="18"/>
  <c r="F122" i="18"/>
  <c r="F121" i="18"/>
  <c r="E120" i="18"/>
  <c r="F120" i="18"/>
  <c r="E119" i="18"/>
  <c r="F119" i="18"/>
  <c r="E118" i="18"/>
  <c r="F118" i="18"/>
  <c r="E117" i="18"/>
  <c r="F117" i="18"/>
  <c r="F116" i="18"/>
  <c r="E116" i="18"/>
  <c r="I26" i="18"/>
  <c r="J26" i="18" s="1"/>
  <c r="F26" i="18"/>
  <c r="E26" i="18"/>
  <c r="H38" i="18"/>
  <c r="K38" i="18" s="1"/>
  <c r="H37" i="18"/>
  <c r="K37" i="18" s="1"/>
  <c r="H36" i="18"/>
  <c r="K36" i="18" s="1"/>
  <c r="H35" i="18"/>
  <c r="K35" i="18" s="1"/>
  <c r="H34" i="18"/>
  <c r="K34" i="18" s="1"/>
  <c r="H33" i="18"/>
  <c r="K33" i="18" s="1"/>
  <c r="H32" i="18"/>
  <c r="H31" i="18"/>
  <c r="K31" i="18" s="1"/>
  <c r="H30" i="18"/>
  <c r="K30" i="18" s="1"/>
  <c r="H29" i="18"/>
  <c r="K29" i="18" s="1"/>
  <c r="H28" i="18"/>
  <c r="K28" i="18" s="1"/>
  <c r="H27" i="18"/>
  <c r="K27" i="18" s="1"/>
  <c r="H26" i="18"/>
  <c r="K26" i="18" s="1"/>
  <c r="H39" i="18"/>
  <c r="K39" i="18" s="1"/>
  <c r="K32" i="18" l="1"/>
  <c r="H45" i="18"/>
  <c r="C87" i="18" s="1"/>
  <c r="H72" i="18"/>
  <c r="C88" i="18" s="1"/>
  <c r="J72" i="18"/>
  <c r="G88" i="18" s="1"/>
  <c r="J45" i="18"/>
  <c r="G87" i="18" s="1"/>
  <c r="H83" i="18" l="1"/>
  <c r="H81" i="18"/>
  <c r="H170" i="18" s="1"/>
  <c r="K170" i="18" s="1"/>
  <c r="H82" i="18"/>
  <c r="H204" i="18" s="1"/>
  <c r="K204" i="18" s="1"/>
  <c r="K83" i="18"/>
  <c r="H231" i="18"/>
  <c r="K231" i="18" s="1"/>
  <c r="H230" i="18"/>
  <c r="K230" i="18" s="1"/>
  <c r="H229" i="18"/>
  <c r="K229" i="18" s="1"/>
  <c r="H228" i="18"/>
  <c r="K228" i="18" s="1"/>
  <c r="H227" i="18"/>
  <c r="K227" i="18" s="1"/>
  <c r="H226" i="18"/>
  <c r="K226" i="18" s="1"/>
  <c r="H225" i="18"/>
  <c r="K225" i="18" s="1"/>
  <c r="H224" i="18"/>
  <c r="K224" i="18" s="1"/>
  <c r="H245" i="18"/>
  <c r="K245" i="18" s="1"/>
  <c r="H223" i="18"/>
  <c r="K223" i="18" s="1"/>
  <c r="H222" i="18"/>
  <c r="K222" i="18" s="1"/>
  <c r="H221" i="18"/>
  <c r="K221" i="18" s="1"/>
  <c r="H220" i="18"/>
  <c r="K220" i="18" s="1"/>
  <c r="H217" i="18"/>
  <c r="K217" i="18" s="1"/>
  <c r="H216" i="18"/>
  <c r="K216" i="18" s="1"/>
  <c r="H215" i="18"/>
  <c r="K215" i="18" s="1"/>
  <c r="H214" i="18"/>
  <c r="K214" i="18" s="1"/>
  <c r="H213" i="18"/>
  <c r="K213" i="18" s="1"/>
  <c r="H212" i="18"/>
  <c r="K212" i="18" s="1"/>
  <c r="H219" i="18"/>
  <c r="K219" i="18" s="1"/>
  <c r="H259" i="18"/>
  <c r="K259" i="18" s="1"/>
  <c r="H258" i="18"/>
  <c r="K258" i="18" s="1"/>
  <c r="H257" i="18"/>
  <c r="K257" i="18" s="1"/>
  <c r="H256" i="18"/>
  <c r="K256" i="18" s="1"/>
  <c r="H255" i="18"/>
  <c r="K255" i="18" s="1"/>
  <c r="H254" i="18"/>
  <c r="K254" i="18" s="1"/>
  <c r="H253" i="18"/>
  <c r="K253" i="18" s="1"/>
  <c r="H252" i="18"/>
  <c r="K252" i="18" s="1"/>
  <c r="H251" i="18"/>
  <c r="K251" i="18" s="1"/>
  <c r="H250" i="18"/>
  <c r="K250" i="18" s="1"/>
  <c r="H249" i="18"/>
  <c r="K249" i="18" s="1"/>
  <c r="H248" i="18"/>
  <c r="K248" i="18" s="1"/>
  <c r="H247" i="18"/>
  <c r="K247" i="18" s="1"/>
  <c r="H246" i="18"/>
  <c r="K246" i="18" s="1"/>
  <c r="H218" i="18"/>
  <c r="K218" i="18" s="1"/>
  <c r="H244" i="18"/>
  <c r="K244" i="18" s="1"/>
  <c r="H243" i="18"/>
  <c r="K243" i="18" s="1"/>
  <c r="H242" i="18"/>
  <c r="K242" i="18" s="1"/>
  <c r="H241" i="18"/>
  <c r="K241" i="18" s="1"/>
  <c r="H240" i="18"/>
  <c r="H239" i="18"/>
  <c r="K239" i="18" s="1"/>
  <c r="H238" i="18"/>
  <c r="K238" i="18" s="1"/>
  <c r="H237" i="18"/>
  <c r="K237" i="18" s="1"/>
  <c r="H236" i="18"/>
  <c r="K236" i="18" s="1"/>
  <c r="H235" i="18"/>
  <c r="K235" i="18" s="1"/>
  <c r="H234" i="18"/>
  <c r="K234" i="18" s="1"/>
  <c r="H233" i="18"/>
  <c r="K233" i="18" s="1"/>
  <c r="H232" i="18"/>
  <c r="K232" i="18" s="1"/>
  <c r="K82" i="18"/>
  <c r="H199" i="18"/>
  <c r="K199" i="18" s="1"/>
  <c r="H198" i="18"/>
  <c r="K198" i="18" s="1"/>
  <c r="H197" i="18"/>
  <c r="K197" i="18" s="1"/>
  <c r="K81" i="18"/>
  <c r="H174" i="18"/>
  <c r="K174" i="18" s="1"/>
  <c r="H173" i="18"/>
  <c r="K173" i="18" s="1"/>
  <c r="H172" i="18"/>
  <c r="K172" i="18" s="1"/>
  <c r="H171" i="18"/>
  <c r="K171" i="18" s="1"/>
  <c r="H166" i="18"/>
  <c r="H80" i="18"/>
  <c r="H87" i="18"/>
  <c r="H88" i="18"/>
  <c r="H188" i="18" l="1"/>
  <c r="K188" i="18" s="1"/>
  <c r="H189" i="18"/>
  <c r="K189" i="18" s="1"/>
  <c r="H190" i="18"/>
  <c r="K190" i="18" s="1"/>
  <c r="H200" i="18"/>
  <c r="K200" i="18" s="1"/>
  <c r="H167" i="18"/>
  <c r="K167" i="18" s="1"/>
  <c r="H192" i="18"/>
  <c r="K192" i="18" s="1"/>
  <c r="H168" i="18"/>
  <c r="K168" i="18" s="1"/>
  <c r="H185" i="18"/>
  <c r="H202" i="18"/>
  <c r="K202" i="18" s="1"/>
  <c r="H169" i="18"/>
  <c r="K169" i="18" s="1"/>
  <c r="H177" i="18"/>
  <c r="K177" i="18" s="1"/>
  <c r="H186" i="18"/>
  <c r="K186" i="18" s="1"/>
  <c r="H194" i="18"/>
  <c r="K194" i="18" s="1"/>
  <c r="H203" i="18"/>
  <c r="K203" i="18" s="1"/>
  <c r="H191" i="18"/>
  <c r="K191" i="18" s="1"/>
  <c r="H175" i="18"/>
  <c r="K175" i="18" s="1"/>
  <c r="H196" i="18"/>
  <c r="K196" i="18" s="1"/>
  <c r="H201" i="18"/>
  <c r="K201" i="18" s="1"/>
  <c r="H176" i="18"/>
  <c r="K176" i="18" s="1"/>
  <c r="H193" i="18"/>
  <c r="K193" i="18" s="1"/>
  <c r="H187" i="18"/>
  <c r="K187" i="18" s="1"/>
  <c r="H195" i="18"/>
  <c r="K195" i="18" s="1"/>
  <c r="K240" i="18"/>
  <c r="H260" i="18"/>
  <c r="K166" i="18"/>
  <c r="H158" i="18"/>
  <c r="K158" i="18" s="1"/>
  <c r="H157" i="18"/>
  <c r="K157" i="18" s="1"/>
  <c r="H156" i="18"/>
  <c r="K156" i="18" s="1"/>
  <c r="H155" i="18"/>
  <c r="K155" i="18" s="1"/>
  <c r="H154" i="18"/>
  <c r="K154" i="18" s="1"/>
  <c r="H153" i="18"/>
  <c r="K153" i="18" s="1"/>
  <c r="H152" i="18"/>
  <c r="K152" i="18" s="1"/>
  <c r="H151" i="18"/>
  <c r="K151" i="18" s="1"/>
  <c r="H150" i="18"/>
  <c r="K150" i="18" s="1"/>
  <c r="H149" i="18"/>
  <c r="K149" i="18" s="1"/>
  <c r="H148" i="18"/>
  <c r="K148" i="18" s="1"/>
  <c r="H147" i="18"/>
  <c r="K147" i="18" s="1"/>
  <c r="H146" i="18"/>
  <c r="K146" i="18" s="1"/>
  <c r="H145" i="18"/>
  <c r="K145" i="18" s="1"/>
  <c r="H144" i="18"/>
  <c r="K144" i="18" s="1"/>
  <c r="H143" i="18"/>
  <c r="K143" i="18" s="1"/>
  <c r="H142" i="18"/>
  <c r="K142" i="18" s="1"/>
  <c r="H141" i="18"/>
  <c r="K141" i="18" s="1"/>
  <c r="H140" i="18"/>
  <c r="K140" i="18" s="1"/>
  <c r="H139" i="18"/>
  <c r="K139" i="18" s="1"/>
  <c r="H138" i="18"/>
  <c r="K138" i="18" s="1"/>
  <c r="H137" i="18"/>
  <c r="K137" i="18" s="1"/>
  <c r="H136" i="18"/>
  <c r="K136" i="18" s="1"/>
  <c r="H135" i="18"/>
  <c r="K135" i="18" s="1"/>
  <c r="H134" i="18"/>
  <c r="K134" i="18" s="1"/>
  <c r="H133" i="18"/>
  <c r="K133" i="18" s="1"/>
  <c r="H132" i="18"/>
  <c r="K132" i="18" s="1"/>
  <c r="H131" i="18"/>
  <c r="K131" i="18" s="1"/>
  <c r="H130" i="18"/>
  <c r="K130" i="18" s="1"/>
  <c r="H129" i="18"/>
  <c r="K129" i="18" s="1"/>
  <c r="H128" i="18"/>
  <c r="K128" i="18" s="1"/>
  <c r="H127" i="18"/>
  <c r="K127" i="18" s="1"/>
  <c r="H126" i="18"/>
  <c r="K126" i="18" s="1"/>
  <c r="H125" i="18"/>
  <c r="K125" i="18" s="1"/>
  <c r="H124" i="18"/>
  <c r="K124" i="18" s="1"/>
  <c r="H123" i="18"/>
  <c r="K123" i="18" s="1"/>
  <c r="H122" i="18"/>
  <c r="K122" i="18" s="1"/>
  <c r="H121" i="18"/>
  <c r="K121" i="18" s="1"/>
  <c r="H120" i="18"/>
  <c r="K120" i="18" s="1"/>
  <c r="H119" i="18"/>
  <c r="K119" i="18" s="1"/>
  <c r="H118" i="18"/>
  <c r="K118" i="18" s="1"/>
  <c r="H117" i="18"/>
  <c r="K117" i="18" s="1"/>
  <c r="H116" i="18"/>
  <c r="H84" i="18"/>
  <c r="H109" i="18"/>
  <c r="K109" i="18" s="1"/>
  <c r="H108" i="18"/>
  <c r="K80" i="18"/>
  <c r="H178" i="18" l="1"/>
  <c r="H205" i="18"/>
  <c r="K185" i="18"/>
  <c r="K116" i="18"/>
  <c r="H159" i="18"/>
  <c r="C89" i="18"/>
  <c r="E78" i="18"/>
  <c r="H110" i="18"/>
  <c r="K108" i="18"/>
  <c r="C108" i="18"/>
  <c r="I108" i="18"/>
  <c r="J108" i="18" s="1"/>
  <c r="J110" i="18" s="1"/>
  <c r="I156" i="18" s="1"/>
  <c r="J156" i="18" s="1"/>
  <c r="J159" i="18" s="1"/>
  <c r="I80" i="18" s="1"/>
  <c r="G81" i="18" l="1"/>
  <c r="J81" i="18" s="1"/>
  <c r="G82" i="18"/>
  <c r="J82" i="18" s="1"/>
  <c r="G83" i="18"/>
  <c r="J83" i="18" s="1"/>
  <c r="G80" i="18"/>
  <c r="F108" i="18"/>
  <c r="E108" i="18"/>
  <c r="G84" i="18" l="1"/>
  <c r="J80" i="18"/>
  <c r="J84" i="18" s="1"/>
  <c r="G89" i="18" s="1"/>
  <c r="H89" i="18" s="1"/>
  <c r="H90" i="18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<sst xmlns="http://schemas.openxmlformats.org/spreadsheetml/2006/main" count="528" uniqueCount="266">
  <si>
    <t>Laboratory Formulation Sheet
&amp; Lab Work Instruction</t>
  </si>
  <si>
    <t>Document No</t>
  </si>
  <si>
    <t>BOL-ID-BOLL-SPEC-003</t>
  </si>
  <si>
    <t>Revision No</t>
  </si>
  <si>
    <t>Effective Date</t>
  </si>
  <si>
    <t>Factory Lab to Fill Up</t>
  </si>
  <si>
    <t>Full FG Description</t>
  </si>
  <si>
    <t>Mixing Factory</t>
  </si>
  <si>
    <t>PT SAAT</t>
  </si>
  <si>
    <t>Lab Personnel Involved</t>
  </si>
  <si>
    <t>Wawan, Isro, Lyla</t>
  </si>
  <si>
    <t>Flavor Development Reference</t>
  </si>
  <si>
    <t>Standard Control</t>
  </si>
  <si>
    <t>Flavor Standard Reference</t>
  </si>
  <si>
    <t>N/A</t>
  </si>
  <si>
    <t>Product Specification</t>
  </si>
  <si>
    <t>Tobacco Blend Code</t>
  </si>
  <si>
    <t>Sensory Parameter</t>
  </si>
  <si>
    <t>Formulation Code</t>
  </si>
  <si>
    <t>Impact</t>
  </si>
  <si>
    <t>Single Capsule</t>
  </si>
  <si>
    <t>Flavor Aroma</t>
  </si>
  <si>
    <t>Double Capsule (Tobacco End)</t>
  </si>
  <si>
    <t>Irritation</t>
  </si>
  <si>
    <t>Double Capsule (Mouth End)</t>
  </si>
  <si>
    <t>Cooling</t>
  </si>
  <si>
    <t>Product Weight
(mg / stick)</t>
  </si>
  <si>
    <t>Clove Weight
(mg / stick)</t>
  </si>
  <si>
    <t>No. of Stick per MC</t>
  </si>
  <si>
    <t>Casing Rajangan</t>
  </si>
  <si>
    <t>Casing NAV Item Code</t>
  </si>
  <si>
    <t>GEN-CS-00000</t>
  </si>
  <si>
    <t>Casing NAV Item Description</t>
  </si>
  <si>
    <t>Blend Ratio</t>
  </si>
  <si>
    <t>Casing Application (%)</t>
  </si>
  <si>
    <t>No</t>
  </si>
  <si>
    <t>Material NAV Item
Code</t>
  </si>
  <si>
    <t>Material Name</t>
  </si>
  <si>
    <t>Physical
Form</t>
  </si>
  <si>
    <t>CAS Number</t>
  </si>
  <si>
    <t>Ratio
(%)</t>
  </si>
  <si>
    <t>Dosage
(mg/stick)</t>
  </si>
  <si>
    <t>Material
Price
(USD / KG)</t>
  </si>
  <si>
    <t>Formulation
Price 
(USD / KG)</t>
  </si>
  <si>
    <t>Dosage
(KG / MC)</t>
  </si>
  <si>
    <t>Density</t>
  </si>
  <si>
    <t>Addition
Sequence</t>
  </si>
  <si>
    <t>Temperature</t>
  </si>
  <si>
    <t>Agitation
Rate</t>
  </si>
  <si>
    <t>Mixing
Duration</t>
  </si>
  <si>
    <t>Work Instruction</t>
  </si>
  <si>
    <t>GEN-WA-00001</t>
  </si>
  <si>
    <t>WATER</t>
  </si>
  <si>
    <t>Liquid</t>
  </si>
  <si>
    <t>Ambient</t>
  </si>
  <si>
    <t>500 RPM</t>
  </si>
  <si>
    <t>15 min</t>
  </si>
  <si>
    <t xml:space="preserve">Magnetic stirrer. 
Mix till all solids are dissolved. 
</t>
  </si>
  <si>
    <t>INVERT SUGAR</t>
  </si>
  <si>
    <t>SV-PROPYLENE GLYCOL (PANAMA)-MAY.ID-SX</t>
  </si>
  <si>
    <t>SV-VEGETABLE GLYCERINE ECOCEROOL (INTAN (E))-EOC.</t>
  </si>
  <si>
    <t>GEN-FBL-00000</t>
  </si>
  <si>
    <t>25 min</t>
  </si>
  <si>
    <t>Magnetic stirrer. Mix till homogeneous.</t>
  </si>
  <si>
    <t>Total</t>
  </si>
  <si>
    <t>Casing Krosok</t>
  </si>
  <si>
    <t>Top Flavor</t>
  </si>
  <si>
    <t>Top Flavor NAV Item Code</t>
  </si>
  <si>
    <t>Top Flavor Item Description</t>
  </si>
  <si>
    <t>TF Application (%)</t>
  </si>
  <si>
    <t>Physical State</t>
  </si>
  <si>
    <t>Material
Unit Price
(USD / KG)</t>
  </si>
  <si>
    <t>30 min</t>
  </si>
  <si>
    <t>Magnetic stirrer. 
Mix till all solid are dissolved.</t>
  </si>
  <si>
    <t>Casing &amp; Top Flavor
NAV Item Code</t>
  </si>
  <si>
    <t>Application Amount
(mg/stick)</t>
  </si>
  <si>
    <t>Price
(USD/KG)</t>
  </si>
  <si>
    <t>1,000 Sticks Price
(USD)</t>
  </si>
  <si>
    <t>Total Price
(USD/1,000 Sticks)</t>
  </si>
  <si>
    <t>Prepared By</t>
  </si>
  <si>
    <t>Reviewed By</t>
  </si>
  <si>
    <t>Appoved By</t>
  </si>
  <si>
    <t>Position : Flavourist</t>
  </si>
  <si>
    <t>Position : Senior Manager - Flavourist</t>
  </si>
  <si>
    <t>Position : Head, Flavour PDI</t>
  </si>
  <si>
    <t>Name : Muhammad Isro</t>
  </si>
  <si>
    <t>Name : Mochamad Setyawan</t>
  </si>
  <si>
    <t>Name : Andrew Yip</t>
  </si>
  <si>
    <t xml:space="preserve">Signature : </t>
  </si>
  <si>
    <t>Signature:</t>
  </si>
  <si>
    <t>CF-ETHYL MALTOL-VT.ES-ALL</t>
  </si>
  <si>
    <t>CF-METHYL CYCLOPENTENOLONE ANHYDROUS, 98%,</t>
  </si>
  <si>
    <t>NE-LICORICE EXTRACT-TS.DE-ALL</t>
  </si>
  <si>
    <t>NE-FENUGREEK ABSOLUT -VT.ES-ALL</t>
  </si>
  <si>
    <t>NE-CINNAMON BARK OIL-O3.PL-ALL</t>
  </si>
  <si>
    <t>NE-3XIDC-LF-001-N-AB.PL-ALL</t>
  </si>
  <si>
    <t>NE-COFFEE EXTRACT-HZ.DE-ALL</t>
  </si>
  <si>
    <t>NE-COCOA EXTRACT (MILAN)-SYR.SG-AX</t>
  </si>
  <si>
    <t>Flavor Pre-Mix Formulation</t>
  </si>
  <si>
    <t>Flavor Pre-Mix Formulation NAV Item Code</t>
  </si>
  <si>
    <t>Flavor Pre-Mix Formulation NAV Item Description</t>
  </si>
  <si>
    <t>CF-2,3,5-TRIMETHYLPYRAZINE ≥99%, FCC, FG-M.PL-ALL</t>
  </si>
  <si>
    <t>FBL_SWEET FLAVOR-01_R00</t>
  </si>
  <si>
    <t>NE-CINNAMON BARK OIL-SIVAROMA.IN-ALL</t>
  </si>
  <si>
    <t>NE-STYRAX, FG-M.PL-ALL</t>
  </si>
  <si>
    <t>CF-ROSE OXIDE-VT.ES-ALL</t>
  </si>
  <si>
    <t>CF-(-)-ALPHA-PINENE ≥97%, FCC, FG-M.PL-ALL</t>
  </si>
  <si>
    <t>CF-BENZALDEHYDE ≥98%, FCC, FG-M.PL-ALL</t>
  </si>
  <si>
    <t>CF-CINNAMALDEHYDE NATURAL ≥95%, FG-M.PL-ALL</t>
  </si>
  <si>
    <t>CF-CIS-3-HEXENOL NATURAL-VT.ES-ALL</t>
  </si>
  <si>
    <t>CF-DAMASCENONE NATURAL, 1.1-1.4 WT. % (190 PROOF</t>
  </si>
  <si>
    <t>CF-ETHYL ACETATE-VT.ES-ALL</t>
  </si>
  <si>
    <t>CF-ETHYL BUTYRATE NATURAL ≥98%, FCC, FG-M.PL-ALL</t>
  </si>
  <si>
    <t>CF-RUM ETHER-M.PL-ALL</t>
  </si>
  <si>
    <t>CF-TABANON-VT.ES-ALL</t>
  </si>
  <si>
    <t>CF-P-ANISALDEHYDE ≥97.5%, FCC, FG-M.PL-ALL</t>
  </si>
  <si>
    <t>AC-ISOBUTYRIC ACID ≥99%, FCC, FG-M.PL-ALL</t>
  </si>
  <si>
    <t>CF-VANILLIN ≥97%, FCC, FG-M.PL-ALL</t>
  </si>
  <si>
    <t>Solid</t>
  </si>
  <si>
    <t>CF-4-HYDROXY-2,5-DIMETHYL-3(2H)-FURANONE ≥98%,</t>
  </si>
  <si>
    <t>CF-ISOAMYL ACETATE ≥95%, FCC, FG-M.PL-ALL</t>
  </si>
  <si>
    <t>CHM: SV-ETHANOL 96% (AUCKLAND)-MRI.ID-SX</t>
  </si>
  <si>
    <t>CF-EUGENOL USP 906-SN.ID-SA</t>
  </si>
  <si>
    <t>NE-2XUBB-HW-001-N-AB.PL-ALL</t>
  </si>
  <si>
    <t>NE-3XIDC-LF-D-001-N-AB.PL-ALL</t>
  </si>
  <si>
    <t>CF-4-(4-HYDROXYPHENYL)-2-BUTANONE-LE.ES-ALL</t>
  </si>
  <si>
    <t>GEN-CF-00005</t>
  </si>
  <si>
    <t>GEN-AC-00003</t>
  </si>
  <si>
    <t>NE-ADK233/19-W-001-N-AB.PL-ALL</t>
  </si>
  <si>
    <t>GEN-CF-00010</t>
  </si>
  <si>
    <t>CF-ALLYL HEXANOATE ≥98%, FCC, FG-M.PL-ALL</t>
  </si>
  <si>
    <t>CF-ALPHA-IONONE ≥90%, STABILIZED-M.PL-ALL</t>
  </si>
  <si>
    <t>CF-ALPHA-PHELLANDRENE NATURAL ≥85%, FG -M.PL-ALL</t>
  </si>
  <si>
    <t>GEN-CF-00068</t>
  </si>
  <si>
    <t>GEN-CF-00085</t>
  </si>
  <si>
    <t>GEN-SV-00007</t>
  </si>
  <si>
    <t>SV-BENZYL ALCOHOL ≥99%, FCC, FG-M.PL-ALL</t>
  </si>
  <si>
    <t>NE-BLACK PEPPER GLYCOLIC EXTRACT-E.PL-ALL</t>
  </si>
  <si>
    <t>CF-CIS-3-HEXENYL ACETATE ≥98%, STABILIZED, FCC,</t>
  </si>
  <si>
    <t>CF-CITRAL, SYNTHETIC-VT.ES-ALL</t>
  </si>
  <si>
    <t>NE-CLOB-002-E-NV (CLOVE GLYCOLIC EXTRACT)-E.PL-ALL</t>
  </si>
  <si>
    <t>GEN-NAT-00254</t>
  </si>
  <si>
    <t>NE-CLOVE BUD OIL PREMIUM-SN.ID-ID</t>
  </si>
  <si>
    <t>NE-CLOVE BUDS OLEORESIN AR-240076-CVA.ID-SX</t>
  </si>
  <si>
    <t>GEN-FL-00010</t>
  </si>
  <si>
    <t>CF-COURMARIN (CANTIK)-HNS.DE-AX</t>
  </si>
  <si>
    <t>NE-DATE EXTRACT PASTE-SIVAROMA.IN-ALL</t>
  </si>
  <si>
    <t>GEN-CHM-00023</t>
  </si>
  <si>
    <t>SV-ETHANOL 96% (AUCKLAND)-MRI.ID-SX</t>
  </si>
  <si>
    <t>GEN-CHM-00045</t>
  </si>
  <si>
    <t>GEN-CF-00577</t>
  </si>
  <si>
    <t>GEN-CF-00140</t>
  </si>
  <si>
    <t>CF-ETHYL 3-METHYL-3-PHENYLGLYCIDATE ≥98%, FCC,</t>
  </si>
  <si>
    <t>GEN-CF-00166</t>
  </si>
  <si>
    <t>GEN-CF-00021</t>
  </si>
  <si>
    <t>GEN-CF-00177</t>
  </si>
  <si>
    <t>GEN-CF-00143</t>
  </si>
  <si>
    <t>CF-ETHYL ISOVALERATE ≥98%, FCC, FG-M.PL-ALL</t>
  </si>
  <si>
    <t>GEN-CF-00178</t>
  </si>
  <si>
    <t>GEN-CF-00583</t>
  </si>
  <si>
    <t>GEN-CF-00073</t>
  </si>
  <si>
    <t>CF-EUGENOL ≥98%, FCC, FG-M.PL-ALL</t>
  </si>
  <si>
    <t>97-53-0</t>
  </si>
  <si>
    <t>GEN-CF-00993</t>
  </si>
  <si>
    <t>CF-EUGENYL ACETATE ≥98%, FCC, FG-M.PL-ALL</t>
  </si>
  <si>
    <t>GEN-NAT-00101</t>
  </si>
  <si>
    <t>NE-FUSEL OIL NATURAL, FG-M.PL-ALL</t>
  </si>
  <si>
    <t>GEN-CF-00089</t>
  </si>
  <si>
    <t>GEN-CF-00028</t>
  </si>
  <si>
    <t>GEN-CF-00167</t>
  </si>
  <si>
    <t>NE-GINGER OIL FRESH 890-SN.ID-SA</t>
  </si>
  <si>
    <t>CF-HEXYL ACETATE ≥98%, FCC, FG-M.PL-ALL</t>
  </si>
  <si>
    <t>NE-IAF121/18-HW-002-N-AB.PL-ALL</t>
  </si>
  <si>
    <t>GEN-CF-00030</t>
  </si>
  <si>
    <t>CF-ISOAMYL BUTYRATE ≥98%, FCC, FG-M.PL-ALL</t>
  </si>
  <si>
    <t>GEN-CF-00179</t>
  </si>
  <si>
    <t>NE-JOL130/19-HW-004-N-AB.PL-ALL</t>
  </si>
  <si>
    <t>NE-JZN111/20-LF-003-N-AB.PL-ALL</t>
  </si>
  <si>
    <t>GEN-NAT-00093</t>
  </si>
  <si>
    <t>NE-LEMON OIL ARGENTINA-DM.UK-ALL</t>
  </si>
  <si>
    <t>GEN-CF-00031</t>
  </si>
  <si>
    <t>GEN-CF-00578</t>
  </si>
  <si>
    <t>GEN-CF-00032</t>
  </si>
  <si>
    <t>CF-MALTOL ≥99.0%, FCC, FG-M.PL-ALL</t>
  </si>
  <si>
    <t>CF-METHYL CINNAMATE NATURAL ≥98%, FCC, FG-M.PL-ALL</t>
  </si>
  <si>
    <t>GEN-CF-00152</t>
  </si>
  <si>
    <t>CF-METHYL THIOBUTYRATE FG-LE.ES-ALL</t>
  </si>
  <si>
    <t>GEN-NC-00001</t>
  </si>
  <si>
    <t>88660-53-1</t>
  </si>
  <si>
    <t>CF-ORANGE OIL NATURAL, COLD-COMPRESSED,</t>
  </si>
  <si>
    <t>NE-ORO512/17-HW-005-N-AB.PL-ALL</t>
  </si>
  <si>
    <t>NE-ORO545/18-LF-005-N-AB.PL-ALL</t>
  </si>
  <si>
    <t>GEN-CF-00290</t>
  </si>
  <si>
    <t>NE-PLUM EXTRACT PASTE-SIVAROMA.IN-ALL</t>
  </si>
  <si>
    <t>57-55-6</t>
  </si>
  <si>
    <t>GEN-CHM-00016</t>
  </si>
  <si>
    <t>NE-RAISIN EXTRACT PASTE-SIVAROMA.IN-ALL</t>
  </si>
  <si>
    <t>NE-RHO212/17-HW-006-N-AB.PL-ALL</t>
  </si>
  <si>
    <t>NE-RMD139/19-LF-004-N-AB.PL-ALL</t>
  </si>
  <si>
    <t>GEN-CM-00002</t>
  </si>
  <si>
    <t>CM-SPEARMINT OIL-SIVAROMA.IN-ALL</t>
  </si>
  <si>
    <t>GEN-SW-00040</t>
  </si>
  <si>
    <t>SW-STEVIA 90%-BMN.ID-ID</t>
  </si>
  <si>
    <t>GEN-FL-00220</t>
  </si>
  <si>
    <t>FLAVOR: MALOUT</t>
  </si>
  <si>
    <t>GEN-FBL-00147</t>
  </si>
  <si>
    <t>GEN-FBL-00148</t>
  </si>
  <si>
    <t>FBL_SWEET FLAVOR-02_R00</t>
  </si>
  <si>
    <t>NE-TEMANGGUNG TOBACCO EXTRACT 851602 TA-SN.ID-ID</t>
  </si>
  <si>
    <t>GEN-CF-00038</t>
  </si>
  <si>
    <t>Date : 03 July 2026</t>
  </si>
  <si>
    <t>AD-Iodized Salt</t>
  </si>
  <si>
    <t>GEN-AC-00097</t>
  </si>
  <si>
    <t>GEN-AD-00128</t>
  </si>
  <si>
    <t>GEN-FBL-00150</t>
  </si>
  <si>
    <t>FBL_NBS 25% PG_R00</t>
  </si>
  <si>
    <t xml:space="preserve"> 8000-34-8</t>
  </si>
  <si>
    <t>NC-NBS NICOTINE BENZOATE SALT-CV.PL-ALL</t>
  </si>
  <si>
    <t>FBL_FF-03_R01</t>
  </si>
  <si>
    <t>SAAT_777_SKT_KSL12_DP_ID_PHW_I</t>
  </si>
  <si>
    <t>DJARUM 76</t>
  </si>
  <si>
    <t>DJT-04</t>
  </si>
  <si>
    <t>CS_K-CK-LCDT-04_R00</t>
  </si>
  <si>
    <t>CS_R-CK-LCDT-04_R00</t>
  </si>
  <si>
    <t>AC-POTASSIUM CITRATE-BMN.ID-SA</t>
  </si>
  <si>
    <t>GEN-TF-00000</t>
  </si>
  <si>
    <t>TF_TSB-10_R00</t>
  </si>
  <si>
    <t>FBL_BFLG-09_R00</t>
  </si>
  <si>
    <t>GEN-FBL-00140</t>
  </si>
  <si>
    <t>GEN-FBL-00142</t>
  </si>
  <si>
    <t>FBL_FKV-05_R02</t>
  </si>
  <si>
    <t>GEN-FBL-00149</t>
  </si>
  <si>
    <t>FBL_KOR-03_R03</t>
  </si>
  <si>
    <t>SV-Propylene glycol (PANAMA)-MAY.ID-SX</t>
  </si>
  <si>
    <t>CF-Ethyl maltol-VT.ES-ALL</t>
  </si>
  <si>
    <t>CF-Ethyl vanillin ≥98%, fcc, fg-M.PL-ALL</t>
  </si>
  <si>
    <t>CF-Vanillin ≥97%, fcc, fg-M.PL-ALL</t>
  </si>
  <si>
    <t>SV-Benzyl alcohol ≥99%, fcc, fg-M.PL-ALL</t>
  </si>
  <si>
    <t>AC-Acetic acid ≥99.5%, fcc, fg-M.PL-ALL</t>
  </si>
  <si>
    <t>CF-Benzaldehyde ≥98%, fcc, fg-M.PL-ALL</t>
  </si>
  <si>
    <t>CF-Benzyl acetate ≥99%, fcc, fg-M.PL-ALL</t>
  </si>
  <si>
    <t>CF-Ethyl 2-Methylbutyrate-SDM.CN-ALL</t>
  </si>
  <si>
    <t>CF-Ethyl acetate-VT.ES-ALL</t>
  </si>
  <si>
    <t>CF-Ethyl butyrate natural ≥98%, fcc, fg-M.PL-ALL</t>
  </si>
  <si>
    <t>CF-Ethyl heptanoate ≥98%, fg-M.PL-ALL</t>
  </si>
  <si>
    <t>CF-Ethyl isovalerate ≥98%, fcc, fg-M.PL-ALL</t>
  </si>
  <si>
    <t>CF-Ethyl Valerate-SDM.CN-ALL</t>
  </si>
  <si>
    <t>CF-Gamma-nonanoic lactone ≥98%, fcc, fg-M.PL-ALL</t>
  </si>
  <si>
    <t>CF-Gamma-undecalactone ≥98%, fcc, fg-M.PL-ALL</t>
  </si>
  <si>
    <t>CF-Geraniol ≥97%, fcc, fg-M.PL-ALL</t>
  </si>
  <si>
    <t>CF-Isoamyl acetate ≥95%, fcc, fg-M.PL-ALL</t>
  </si>
  <si>
    <t>CF-Isobutyl acetate ≥98%, fcc, fg-M.PL-ALL</t>
  </si>
  <si>
    <t>CF-Linalool ≥97%, fcc, fg-M.PL-ALL</t>
  </si>
  <si>
    <t>CF-Linalyl Acetate-SDM.CN-ALL</t>
  </si>
  <si>
    <t>CF-Maltol ≥99.0%, fcc, fg-M.PL-ALL</t>
  </si>
  <si>
    <t>CF-Methyl salicylate ≥98%, fcc, fg-M.PL-ALL</t>
  </si>
  <si>
    <t>CF-Phenethyl acetate ≥98%, fcc, fg-M.PL-ALL</t>
  </si>
  <si>
    <t>GEN-CF-00001</t>
  </si>
  <si>
    <t>CF-Rum ether-M.PL-ALL</t>
  </si>
  <si>
    <t>CM-Spearmint oil-Sivaroma.IN-ALL</t>
  </si>
  <si>
    <t>NE-Lemon Oil Argentina-DM.UK-ALL</t>
  </si>
  <si>
    <t>CF-Allyl hexanoate ≥98%, fcc, fg-M.PL-ALL</t>
  </si>
  <si>
    <t>SV-Ethanol 96% (AUCKLAND)-MRI.ID-SX</t>
  </si>
  <si>
    <t>GEN-NE-00000</t>
  </si>
  <si>
    <t>NE-Benzoin Resinoid-BMN.ID-SA</t>
  </si>
  <si>
    <t>NE-Labdanum Absolute-BMN.ID-SA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</si>
</sst>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&quot;Rp&quot;* #,##0.00_-;\-&quot;Rp&quot;* #,##0.00_-;_-&quot;Rp&quot;* &quot;-&quot;??_-;_-@_-"/>
    <numFmt numFmtId="165" formatCode="_-&quot;$&quot;* #,##0.00_-;\-&quot;$&quot;* #,##0.00_-;_-&quot;$&quot;* &quot;-&quot;??_-;_-@_-"/>
    <numFmt numFmtId="166" formatCode="0.0000%"/>
    <numFmt numFmtId="167" formatCode="0.0000"/>
    <numFmt numFmtId="168" formatCode="0.000%"/>
    <numFmt numFmtId="169" formatCode="0.000000"/>
    <numFmt numFmtId="170" formatCode="00"/>
    <numFmt numFmtId="171" formatCode="0.00000000"/>
    <numFmt numFmtId="172" formatCode="0.00000%"/>
    <numFmt numFmtId="173" formatCode="_-&quot;$&quot;* #,##0.000_-;\-&quot;$&quot;* #,##0.000_-;_-&quot;$&quot;* &quot;-&quot;??_-;_-@_-"/>
  </numFmts>
  <fonts count="12" x14ac:knownFonts="1">
    <font>
      <sz val="11"/>
      <color theme="1"/>
      <name val="Aptos Narrow"/>
      <family val="2"/>
      <scheme val="minor"/>
    </font>
    <font>
      <b/>
      <sz val="25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Open Sans"/>
      <family val="2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165" fontId="2" fillId="0" borderId="0" applyFont="0" applyFill="0" applyBorder="0" applyAlignment="0" applyProtection="0"/>
  </cellStyleXfs>
  <cellXfs count="216">
    <xf numFmtId="0" fontId="0" fillId="0" borderId="0" xfId="0"/>
    <xf numFmtId="0" fontId="4" fillId="0" borderId="1" xfId="0" applyFont="1" applyBorder="1" applyAlignment="1" applyProtection="1">
      <alignment vertical="center" wrapText="1"/>
      <protection locked="0"/>
    </xf>
    <xf numFmtId="0" fontId="6" fillId="0" borderId="1" xfId="0" applyFont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170" fontId="4" fillId="0" borderId="3" xfId="0" applyNumberFormat="1" applyFont="1" applyBorder="1" applyAlignment="1" applyProtection="1">
      <alignment horizontal="left" vertical="center" wrapText="1"/>
      <protection locked="0"/>
    </xf>
    <xf numFmtId="15" fontId="6" fillId="0" borderId="1" xfId="0" applyNumberFormat="1" applyFont="1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vertical="center"/>
      <protection locked="0"/>
    </xf>
    <xf numFmtId="165" fontId="0" fillId="0" borderId="10" xfId="5" applyFont="1" applyBorder="1" applyAlignment="1" applyProtection="1">
      <alignment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vertical="center"/>
      <protection locked="0"/>
    </xf>
    <xf numFmtId="0" fontId="0" fillId="0" borderId="10" xfId="0" applyBorder="1" applyAlignment="1" applyProtection="1">
      <alignment vertical="center" wrapText="1"/>
      <protection locked="0"/>
    </xf>
    <xf numFmtId="0" fontId="0" fillId="4" borderId="5" xfId="0" applyFill="1" applyBorder="1" applyAlignment="1" applyProtection="1">
      <alignment vertical="center"/>
      <protection locked="0"/>
    </xf>
    <xf numFmtId="165" fontId="0" fillId="4" borderId="6" xfId="5" applyFont="1" applyFill="1" applyBorder="1" applyAlignment="1" applyProtection="1">
      <alignment vertical="center"/>
      <protection locked="0"/>
    </xf>
    <xf numFmtId="37" fontId="0" fillId="0" borderId="5" xfId="5" applyNumberFormat="1" applyFont="1" applyBorder="1" applyAlignment="1" applyProtection="1">
      <alignment vertical="center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4" fillId="4" borderId="5" xfId="0" applyFont="1" applyFill="1" applyBorder="1" applyAlignment="1" applyProtection="1">
      <alignment horizontal="center" vertical="center" wrapText="1"/>
      <protection locked="0"/>
    </xf>
    <xf numFmtId="165" fontId="4" fillId="4" borderId="1" xfId="5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5" xfId="0" applyBorder="1" applyAlignment="1" applyProtection="1">
      <alignment vertical="center"/>
      <protection locked="0"/>
    </xf>
    <xf numFmtId="168" fontId="0" fillId="0" borderId="1" xfId="1" applyNumberFormat="1" applyFont="1" applyBorder="1" applyAlignment="1" applyProtection="1">
      <alignment horizontal="center" vertical="center"/>
      <protection locked="0"/>
    </xf>
    <xf numFmtId="165" fontId="0" fillId="0" borderId="1" xfId="5" applyFont="1" applyBorder="1" applyAlignment="1" applyProtection="1">
      <alignment horizontal="center" vertical="center" wrapText="1"/>
      <protection locked="0"/>
    </xf>
    <xf numFmtId="169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68" fontId="0" fillId="0" borderId="1" xfId="0" applyNumberFormat="1" applyBorder="1" applyAlignment="1" applyProtection="1">
      <alignment horizontal="center" vertical="center" wrapText="1"/>
      <protection locked="0"/>
    </xf>
    <xf numFmtId="165" fontId="0" fillId="2" borderId="1" xfId="5" applyFont="1" applyFill="1" applyBorder="1" applyAlignment="1" applyProtection="1">
      <alignment horizontal="left" vertical="center" wrapText="1"/>
      <protection locked="0"/>
    </xf>
    <xf numFmtId="0" fontId="0" fillId="2" borderId="1" xfId="0" applyFill="1" applyBorder="1" applyAlignment="1" applyProtection="1">
      <alignment horizontal="left" vertical="center" wrapText="1"/>
      <protection locked="0"/>
    </xf>
    <xf numFmtId="165" fontId="0" fillId="2" borderId="1" xfId="5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9" fontId="0" fillId="0" borderId="1" xfId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9" fontId="0" fillId="0" borderId="0" xfId="1" applyFont="1" applyBorder="1" applyAlignment="1" applyProtection="1">
      <alignment horizontal="center" vertical="center" wrapText="1"/>
      <protection locked="0"/>
    </xf>
    <xf numFmtId="165" fontId="4" fillId="2" borderId="5" xfId="5" applyFont="1" applyFill="1" applyBorder="1" applyAlignment="1" applyProtection="1">
      <alignment horizontal="center" vertical="center" wrapText="1"/>
      <protection locked="0"/>
    </xf>
    <xf numFmtId="165" fontId="4" fillId="2" borderId="1" xfId="5" applyFont="1" applyFill="1" applyBorder="1" applyAlignment="1" applyProtection="1">
      <alignment horizontal="center" vertical="center" wrapText="1"/>
      <protection locked="0"/>
    </xf>
    <xf numFmtId="165" fontId="0" fillId="0" borderId="0" xfId="5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165" fontId="4" fillId="2" borderId="1" xfId="5" applyFont="1" applyFill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4" fillId="0" borderId="0" xfId="0" applyFont="1" applyProtection="1">
      <protection locked="0"/>
    </xf>
    <xf numFmtId="165" fontId="0" fillId="0" borderId="0" xfId="5" applyFont="1" applyAlignment="1" applyProtection="1">
      <alignment horizontal="center"/>
      <protection locked="0"/>
    </xf>
    <xf numFmtId="166" fontId="0" fillId="0" borderId="1" xfId="0" applyNumberFormat="1" applyBorder="1" applyAlignment="1" applyProtection="1">
      <alignment horizontal="center" vertical="center" wrapText="1"/>
      <protection locked="0"/>
    </xf>
    <xf numFmtId="167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6" xfId="0" applyBorder="1" applyAlignment="1" applyProtection="1">
      <alignment vertical="center" wrapText="1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left" vertical="top" wrapText="1"/>
      <protection locked="0"/>
    </xf>
    <xf numFmtId="0" fontId="0" fillId="0" borderId="2" xfId="0" applyBorder="1" applyAlignment="1" applyProtection="1">
      <alignment horizontal="left" vertical="top" wrapText="1"/>
      <protection locked="0"/>
    </xf>
    <xf numFmtId="0" fontId="0" fillId="0" borderId="7" xfId="0" applyBorder="1" applyAlignment="1" applyProtection="1">
      <alignment horizontal="left" vertical="top" wrapText="1"/>
      <protection locked="0"/>
    </xf>
    <xf numFmtId="0" fontId="0" fillId="0" borderId="16" xfId="0" applyBorder="1" applyAlignment="1" applyProtection="1">
      <alignment horizontal="left" vertical="top" wrapText="1"/>
      <protection locked="0"/>
    </xf>
    <xf numFmtId="0" fontId="0" fillId="0" borderId="14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11" xfId="0" applyBorder="1" applyAlignment="1" applyProtection="1">
      <alignment horizontal="left" vertical="top" wrapText="1"/>
      <protection locked="0"/>
    </xf>
    <xf numFmtId="0" fontId="4" fillId="0" borderId="12" xfId="0" applyFont="1" applyBorder="1" applyAlignment="1" applyProtection="1">
      <alignment horizontal="right" vertical="center" wrapText="1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168" fontId="7" fillId="0" borderId="0" xfId="1" applyNumberFormat="1" applyFont="1" applyProtection="1">
      <protection locked="0"/>
    </xf>
    <xf numFmtId="10" fontId="0" fillId="2" borderId="1" xfId="0" applyNumberFormat="1" applyFill="1" applyBorder="1" applyAlignment="1" applyProtection="1">
      <alignment horizontal="center" vertical="center" wrapText="1"/>
      <protection locked="0"/>
    </xf>
    <xf numFmtId="10" fontId="0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167" fontId="4" fillId="2" borderId="6" xfId="0" applyNumberFormat="1" applyFont="1" applyFill="1" applyBorder="1" applyAlignment="1" applyProtection="1">
      <alignment horizontal="center" vertical="center" wrapText="1"/>
      <protection locked="0"/>
    </xf>
    <xf numFmtId="10" fontId="4" fillId="2" borderId="1" xfId="1" applyNumberFormat="1" applyFont="1" applyFill="1" applyBorder="1" applyAlignment="1" applyProtection="1">
      <alignment horizontal="center" vertical="center" wrapText="1"/>
      <protection locked="0"/>
    </xf>
    <xf numFmtId="2" fontId="0" fillId="0" borderId="1" xfId="0" applyNumberFormat="1" applyBorder="1" applyAlignment="1" applyProtection="1">
      <alignment horizontal="center" vertical="center" wrapText="1"/>
      <protection locked="0"/>
    </xf>
    <xf numFmtId="165" fontId="0" fillId="0" borderId="5" xfId="5" applyFont="1" applyBorder="1" applyAlignment="1" applyProtection="1">
      <alignment horizontal="left" vertical="center"/>
      <protection locked="0"/>
    </xf>
    <xf numFmtId="37" fontId="0" fillId="0" borderId="5" xfId="5" applyNumberFormat="1" applyFont="1" applyBorder="1" applyAlignment="1" applyProtection="1">
      <alignment horizontal="left" vertical="center"/>
      <protection locked="0"/>
    </xf>
    <xf numFmtId="0" fontId="0" fillId="0" borderId="13" xfId="0" applyBorder="1" applyAlignment="1" applyProtection="1">
      <alignment horizontal="left" vertical="top" wrapText="1"/>
      <protection locked="0"/>
    </xf>
    <xf numFmtId="0" fontId="0" fillId="0" borderId="1" xfId="0" applyBorder="1" applyAlignment="1" applyProtection="1">
      <alignment vertical="center" wrapText="1"/>
      <protection locked="0"/>
    </xf>
    <xf numFmtId="2" fontId="0" fillId="2" borderId="1" xfId="0" applyNumberFormat="1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 applyProtection="1">
      <alignment horizontal="center" vertical="center" wrapText="1"/>
      <protection locked="0"/>
    </xf>
    <xf numFmtId="0" fontId="0" fillId="0" borderId="16" xfId="0" applyBorder="1" applyAlignment="1" applyProtection="1">
      <alignment vertical="top" wrapText="1"/>
      <protection locked="0"/>
    </xf>
    <xf numFmtId="0" fontId="0" fillId="0" borderId="5" xfId="0" applyBorder="1" applyAlignment="1" applyProtection="1">
      <alignment vertical="center" wrapText="1"/>
      <protection locked="0"/>
    </xf>
    <xf numFmtId="0" fontId="0" fillId="0" borderId="6" xfId="0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alignment vertical="center" wrapText="1"/>
      <protection locked="0"/>
    </xf>
    <xf numFmtId="0" fontId="0" fillId="8" borderId="6" xfId="0" applyFill="1" applyBorder="1" applyAlignment="1" applyProtection="1">
      <alignment vertical="center"/>
      <protection locked="0"/>
    </xf>
    <xf numFmtId="171" fontId="0" fillId="0" borderId="1" xfId="0" applyNumberFormat="1" applyBorder="1" applyAlignment="1" applyProtection="1">
      <alignment horizontal="center" vertical="center"/>
      <protection locked="0"/>
    </xf>
    <xf numFmtId="1" fontId="0" fillId="0" borderId="4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5" xfId="0" applyFill="1" applyBorder="1" applyAlignment="1" applyProtection="1">
      <alignment horizontal="center" vertical="center" wrapText="1"/>
      <protection locked="0"/>
    </xf>
    <xf numFmtId="0" fontId="0" fillId="0" borderId="22" xfId="0" applyBorder="1" applyAlignment="1">
      <alignment vertical="center" wrapText="1"/>
    </xf>
    <xf numFmtId="0" fontId="0" fillId="0" borderId="22" xfId="0" applyBorder="1" applyProtection="1">
      <protection locked="0"/>
    </xf>
    <xf numFmtId="0" fontId="0" fillId="0" borderId="8" xfId="0" applyBorder="1" applyAlignment="1">
      <alignment horizontal="center" vertical="center" wrapText="1"/>
    </xf>
    <xf numFmtId="167" fontId="10" fillId="0" borderId="1" xfId="0" applyNumberFormat="1" applyFont="1" applyBorder="1" applyAlignment="1" applyProtection="1">
      <alignment horizontal="center" vertical="center" wrapText="1"/>
      <protection locked="0"/>
    </xf>
    <xf numFmtId="172" fontId="0" fillId="0" borderId="1" xfId="1" applyNumberFormat="1" applyFont="1" applyBorder="1" applyAlignment="1" applyProtection="1">
      <alignment horizontal="center" vertical="center" wrapText="1"/>
      <protection locked="0"/>
    </xf>
    <xf numFmtId="173" fontId="0" fillId="0" borderId="1" xfId="5" applyNumberFormat="1" applyFont="1" applyBorder="1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0" fontId="9" fillId="8" borderId="5" xfId="0" applyFont="1" applyFill="1" applyBorder="1" applyAlignment="1" applyProtection="1">
      <alignment vertical="center"/>
      <protection locked="0"/>
    </xf>
    <xf numFmtId="172" fontId="0" fillId="0" borderId="1" xfId="0" applyNumberFormat="1" applyBorder="1" applyAlignment="1" applyProtection="1">
      <alignment horizontal="center" vertical="center" wrapText="1"/>
      <protection locked="0"/>
    </xf>
    <xf numFmtId="172" fontId="4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>
      <alignment horizontal="center" vertical="center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0" fillId="0" borderId="2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1" xfId="5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vertical="center"/>
      <protection locked="0"/>
    </xf>
    <xf numFmtId="0" fontId="11" fillId="0" borderId="6" xfId="0" applyFont="1" applyBorder="1" applyAlignment="1" applyProtection="1">
      <alignment vertical="center"/>
      <protection locked="0"/>
    </xf>
    <xf numFmtId="168" fontId="9" fillId="0" borderId="1" xfId="0" applyNumberFormat="1" applyFont="1" applyBorder="1" applyAlignment="1" applyProtection="1">
      <alignment horizontal="center" vertical="center" wrapText="1"/>
      <protection locked="0"/>
    </xf>
    <xf numFmtId="0" fontId="0" fillId="9" borderId="1" xfId="0" applyFill="1" applyBorder="1" applyAlignment="1" applyProtection="1">
      <alignment horizontal="center" vertical="center" wrapText="1"/>
      <protection locked="0"/>
    </xf>
    <xf numFmtId="0" fontId="0" fillId="9" borderId="5" xfId="0" applyFill="1" applyBorder="1" applyAlignment="1" applyProtection="1">
      <alignment vertical="center"/>
      <protection locked="0"/>
    </xf>
    <xf numFmtId="0" fontId="0" fillId="9" borderId="6" xfId="0" applyFill="1" applyBorder="1" applyAlignment="1" applyProtection="1">
      <alignment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172" fontId="0" fillId="9" borderId="1" xfId="0" applyNumberFormat="1" applyFill="1" applyBorder="1" applyAlignment="1" applyProtection="1">
      <alignment horizontal="center" vertical="center" wrapText="1"/>
      <protection locked="0"/>
    </xf>
    <xf numFmtId="167" fontId="0" fillId="9" borderId="1" xfId="0" applyNumberFormat="1" applyFill="1" applyBorder="1" applyAlignment="1" applyProtection="1">
      <alignment horizontal="center" vertical="center" wrapText="1"/>
      <protection locked="0"/>
    </xf>
    <xf numFmtId="165" fontId="0" fillId="9" borderId="1" xfId="5" applyFont="1" applyFill="1" applyBorder="1" applyAlignment="1" applyProtection="1">
      <alignment horizontal="center" vertical="center" wrapText="1"/>
      <protection locked="0"/>
    </xf>
    <xf numFmtId="171" fontId="0" fillId="9" borderId="1" xfId="0" applyNumberForma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1" fontId="0" fillId="0" borderId="27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 wrapText="1"/>
    </xf>
    <xf numFmtId="0" fontId="9" fillId="0" borderId="5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166" fontId="0" fillId="0" borderId="5" xfId="0" applyNumberFormat="1" applyBorder="1" applyAlignment="1">
      <alignment horizontal="left" vertical="top" wrapText="1"/>
    </xf>
    <xf numFmtId="166" fontId="0" fillId="0" borderId="10" xfId="0" applyNumberFormat="1" applyBorder="1" applyAlignment="1">
      <alignment horizontal="left" vertical="top" wrapText="1"/>
    </xf>
    <xf numFmtId="166" fontId="0" fillId="0" borderId="6" xfId="0" applyNumberFormat="1" applyBorder="1" applyAlignment="1">
      <alignment horizontal="left" vertical="top" wrapText="1"/>
    </xf>
    <xf numFmtId="0" fontId="4" fillId="4" borderId="5" xfId="0" applyFont="1" applyFill="1" applyBorder="1" applyAlignment="1" applyProtection="1">
      <alignment horizontal="center" vertical="center" wrapText="1"/>
      <protection locked="0"/>
    </xf>
    <xf numFmtId="0" fontId="4" fillId="4" borderId="6" xfId="0" applyFont="1" applyFill="1" applyBorder="1" applyAlignment="1" applyProtection="1">
      <alignment horizontal="center" vertical="center" wrapText="1"/>
      <protection locked="0"/>
    </xf>
    <xf numFmtId="0" fontId="4" fillId="5" borderId="1" xfId="0" applyFont="1" applyFill="1" applyBorder="1" applyAlignment="1">
      <alignment horizontal="center" vertical="top" wrapText="1"/>
    </xf>
    <xf numFmtId="0" fontId="0" fillId="6" borderId="5" xfId="0" applyFill="1" applyBorder="1" applyAlignment="1" applyProtection="1">
      <alignment horizontal="center" vertical="top" wrapText="1"/>
      <protection locked="0"/>
    </xf>
    <xf numFmtId="0" fontId="0" fillId="6" borderId="10" xfId="0" applyFill="1" applyBorder="1" applyAlignment="1" applyProtection="1">
      <alignment horizontal="center" vertical="top" wrapText="1"/>
      <protection locked="0"/>
    </xf>
    <xf numFmtId="0" fontId="0" fillId="6" borderId="6" xfId="0" applyFill="1" applyBorder="1" applyAlignment="1" applyProtection="1">
      <alignment horizontal="center" vertical="top" wrapText="1"/>
      <protection locked="0"/>
    </xf>
    <xf numFmtId="0" fontId="0" fillId="0" borderId="13" xfId="0" applyBorder="1" applyAlignment="1" applyProtection="1">
      <alignment vertical="top"/>
      <protection locked="0"/>
    </xf>
    <xf numFmtId="0" fontId="0" fillId="0" borderId="16" xfId="0" applyBorder="1" applyAlignment="1" applyProtection="1">
      <alignment vertical="top"/>
      <protection locked="0"/>
    </xf>
    <xf numFmtId="0" fontId="0" fillId="0" borderId="14" xfId="0" applyBorder="1" applyAlignment="1" applyProtection="1">
      <alignment vertical="top"/>
      <protection locked="0"/>
    </xf>
    <xf numFmtId="0" fontId="0" fillId="0" borderId="12" xfId="0" applyBorder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  <xf numFmtId="0" fontId="0" fillId="0" borderId="11" xfId="0" applyBorder="1" applyAlignment="1" applyProtection="1">
      <alignment vertical="top"/>
      <protection locked="0"/>
    </xf>
    <xf numFmtId="0" fontId="9" fillId="0" borderId="1" xfId="0" applyFont="1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168" fontId="0" fillId="0" borderId="1" xfId="0" applyNumberFormat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top" wrapText="1"/>
    </xf>
    <xf numFmtId="0" fontId="4" fillId="4" borderId="10" xfId="0" applyFont="1" applyFill="1" applyBorder="1" applyAlignment="1">
      <alignment horizontal="center" vertical="top" wrapText="1"/>
    </xf>
    <xf numFmtId="0" fontId="4" fillId="4" borderId="6" xfId="0" applyFont="1" applyFill="1" applyBorder="1" applyAlignment="1">
      <alignment horizontal="center" vertical="top" wrapText="1"/>
    </xf>
    <xf numFmtId="0" fontId="0" fillId="0" borderId="13" xfId="0" applyBorder="1" applyAlignment="1" applyProtection="1">
      <alignment vertical="top" wrapText="1"/>
      <protection locked="0"/>
    </xf>
    <xf numFmtId="0" fontId="0" fillId="0" borderId="16" xfId="0" applyBorder="1" applyAlignment="1" applyProtection="1">
      <alignment vertical="top" wrapText="1"/>
      <protection locked="0"/>
    </xf>
    <xf numFmtId="0" fontId="4" fillId="7" borderId="5" xfId="0" applyFont="1" applyFill="1" applyBorder="1" applyAlignment="1">
      <alignment horizontal="center" vertical="top" wrapText="1"/>
    </xf>
    <xf numFmtId="0" fontId="4" fillId="7" borderId="10" xfId="0" applyFont="1" applyFill="1" applyBorder="1" applyAlignment="1">
      <alignment horizontal="center" vertical="top" wrapText="1"/>
    </xf>
    <xf numFmtId="0" fontId="4" fillId="7" borderId="6" xfId="0" applyFont="1" applyFill="1" applyBorder="1" applyAlignment="1">
      <alignment horizontal="center" vertical="top" wrapText="1"/>
    </xf>
    <xf numFmtId="0" fontId="0" fillId="0" borderId="14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25" xfId="0" applyBorder="1" applyAlignment="1" applyProtection="1">
      <alignment horizontal="center" vertical="center" wrapText="1"/>
      <protection locked="0"/>
    </xf>
    <xf numFmtId="0" fontId="0" fillId="4" borderId="5" xfId="0" applyFill="1" applyBorder="1" applyAlignment="1" applyProtection="1">
      <alignment horizontal="left" vertical="center" wrapText="1"/>
      <protection locked="0"/>
    </xf>
    <xf numFmtId="0" fontId="0" fillId="4" borderId="6" xfId="0" applyFill="1" applyBorder="1" applyAlignment="1" applyProtection="1">
      <alignment horizontal="left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16" xfId="0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left" vertical="center" wrapText="1"/>
      <protection locked="0"/>
    </xf>
    <xf numFmtId="0" fontId="0" fillId="0" borderId="6" xfId="0" applyBorder="1" applyAlignment="1" applyProtection="1">
      <alignment horizontal="left" vertical="center" wrapText="1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2" xfId="0" applyBorder="1" applyAlignment="1" applyProtection="1">
      <alignment vertical="top"/>
      <protection locked="0"/>
    </xf>
    <xf numFmtId="0" fontId="0" fillId="0" borderId="7" xfId="0" applyBorder="1" applyAlignment="1" applyProtection="1">
      <alignment vertical="top"/>
      <protection locked="0"/>
    </xf>
    <xf numFmtId="0" fontId="0" fillId="4" borderId="4" xfId="0" applyFill="1" applyBorder="1" applyAlignment="1">
      <alignment horizontal="left" vertical="top" wrapText="1"/>
    </xf>
    <xf numFmtId="0" fontId="0" fillId="4" borderId="4" xfId="0" applyFill="1" applyBorder="1" applyAlignment="1" applyProtection="1">
      <alignment horizontal="left" vertical="center"/>
      <protection locked="0"/>
    </xf>
    <xf numFmtId="3" fontId="0" fillId="0" borderId="4" xfId="0" applyNumberFormat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9" fontId="0" fillId="0" borderId="5" xfId="0" applyNumberFormat="1" applyBorder="1" applyAlignment="1">
      <alignment horizontal="left" vertical="top" wrapText="1"/>
    </xf>
    <xf numFmtId="9" fontId="0" fillId="0" borderId="10" xfId="0" applyNumberFormat="1" applyBorder="1" applyAlignment="1">
      <alignment horizontal="left" vertical="top" wrapText="1"/>
    </xf>
    <xf numFmtId="9" fontId="0" fillId="0" borderId="6" xfId="0" applyNumberFormat="1" applyBorder="1" applyAlignment="1">
      <alignment horizontal="left" vertical="top" wrapText="1"/>
    </xf>
    <xf numFmtId="0" fontId="0" fillId="0" borderId="12" xfId="0" applyBorder="1" applyAlignment="1" applyProtection="1">
      <alignment vertical="top" wrapText="1"/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11" xfId="0" applyBorder="1" applyAlignment="1" applyProtection="1">
      <alignment vertical="top" wrapText="1"/>
      <protection locked="0"/>
    </xf>
    <xf numFmtId="0" fontId="0" fillId="0" borderId="15" xfId="0" applyBorder="1" applyAlignment="1" applyProtection="1">
      <alignment vertical="top" wrapText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4" xfId="0" applyFont="1" applyBorder="1" applyAlignment="1" applyProtection="1">
      <alignment horizontal="center" vertical="center" wrapText="1"/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4" fillId="0" borderId="15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5" fillId="3" borderId="5" xfId="0" applyFont="1" applyFill="1" applyBorder="1" applyAlignment="1" applyProtection="1">
      <alignment horizontal="center" vertical="center"/>
      <protection locked="0"/>
    </xf>
    <xf numFmtId="0" fontId="5" fillId="3" borderId="10" xfId="0" applyFont="1" applyFill="1" applyBorder="1" applyAlignment="1" applyProtection="1">
      <alignment horizontal="center" vertical="center"/>
      <protection locked="0"/>
    </xf>
    <xf numFmtId="0" fontId="5" fillId="3" borderId="6" xfId="0" applyFont="1" applyFill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4" fillId="5" borderId="5" xfId="0" applyFont="1" applyFill="1" applyBorder="1" applyAlignment="1">
      <alignment horizontal="left" vertical="top" wrapText="1"/>
    </xf>
    <xf numFmtId="0" fontId="4" fillId="5" borderId="10" xfId="0" applyFont="1" applyFill="1" applyBorder="1" applyAlignment="1">
      <alignment horizontal="left" vertical="top" wrapText="1"/>
    </xf>
    <xf numFmtId="0" fontId="4" fillId="5" borderId="6" xfId="0" applyFont="1" applyFill="1" applyBorder="1" applyAlignment="1">
      <alignment horizontal="left" vertical="top" wrapText="1"/>
    </xf>
    <xf numFmtId="0" fontId="0" fillId="4" borderId="5" xfId="0" applyFill="1" applyBorder="1" applyAlignment="1" applyProtection="1">
      <alignment horizontal="left" vertical="center"/>
      <protection locked="0"/>
    </xf>
    <xf numFmtId="0" fontId="0" fillId="4" borderId="6" xfId="0" applyFill="1" applyBorder="1" applyAlignment="1" applyProtection="1">
      <alignment horizontal="left" vertical="center"/>
      <protection locked="0"/>
    </xf>
    <xf numFmtId="0" fontId="0" fillId="0" borderId="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4" fillId="0" borderId="5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0" fillId="4" borderId="8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9" fillId="0" borderId="5" xfId="0" applyFont="1" applyBorder="1" applyAlignment="1">
      <alignment vertical="top" wrapText="1"/>
    </xf>
    <xf numFmtId="0" fontId="9" fillId="0" borderId="10" xfId="0" applyFont="1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4" fillId="2" borderId="5" xfId="0" applyFont="1" applyFill="1" applyBorder="1" applyAlignment="1" applyProtection="1">
      <alignment horizontal="left" vertical="center" wrapText="1"/>
      <protection locked="0"/>
    </xf>
    <xf numFmtId="0" fontId="4" fillId="2" borderId="10" xfId="0" applyFont="1" applyFill="1" applyBorder="1" applyAlignment="1" applyProtection="1">
      <alignment horizontal="left" vertical="center" wrapText="1"/>
      <protection locked="0"/>
    </xf>
    <xf numFmtId="0" fontId="4" fillId="2" borderId="6" xfId="0" applyFont="1" applyFill="1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/>
      <protection locked="0"/>
    </xf>
  </cellXfs>
  <cellStyles count="6">
    <cellStyle name="Currency 2" xfId="3" xr:uid="{53522AFA-50E4-46F1-B105-E0AFB374797C}"/>
    <cellStyle name="Currency 3" xfId="5" xr:uid="{97C6C955-0063-42ED-86A4-18EE39249E38}"/>
    <cellStyle name="Normal" xfId="0" builtinId="0"/>
    <cellStyle name="Normal 2" xfId="4" xr:uid="{BA9EEE9D-2509-4A0F-8E4C-8CB791E4CDC9}"/>
    <cellStyle name="Percent" xfId="1" builtinId="5"/>
    <cellStyle name="Walutowy 2" xfId="2" xr:uid="{BF220E52-6A4E-40E7-B072-DECD952C5441}"/>
  </cellStyles>
  <dxfs count="0"/>
  <tableStyles count="0" defaultTableStyle="TableStyleMedium2" defaultPivotStyle="PivotStyleLight16"/>
  <colors>
    <mruColors>
      <color rgb="FFFFFFDD"/>
      <color rgb="FFFFFFF7"/>
      <color rgb="FFFFFF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96</xdr:row>
      <xdr:rowOff>0</xdr:rowOff>
    </xdr:from>
    <xdr:to>
      <xdr:col>1</xdr:col>
      <xdr:colOff>803413</xdr:colOff>
      <xdr:row>100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E3EE5C-19CE-411C-A2EF-A66DAFF8C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982950"/>
          <a:ext cx="1241563" cy="73342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33493-19CF-4A0E-A1E3-7A86E7C34396}">
  <sheetPr codeName="Sheet12">
    <tabColor theme="6" tint="0.79998168889431442"/>
    <pageSetUpPr fitToPage="1"/>
  </sheetPr>
  <dimension ref="A1:R260"/>
  <sheetViews>
    <sheetView showGridLines="0" tabSelected="1" zoomScale="92" zoomScaleNormal="90" workbookViewId="0">
      <selection activeCell="D30" sqref="D30"/>
    </sheetView>
  </sheetViews>
  <sheetFormatPr baseColWidth="10" defaultColWidth="9.5" defaultRowHeight="15" x14ac:dyDescent="0.2"/>
  <cols>
    <col min="1" max="1" width="6.5" style="3" customWidth="1"/>
    <col min="2" max="2" width="19.5" style="3" customWidth="1"/>
    <col min="3" max="3" width="27.5" style="3" customWidth="1"/>
    <col min="4" max="4" width="29.1640625" style="17" customWidth="1"/>
    <col min="5" max="5" width="9.83203125" style="17" customWidth="1"/>
    <col min="6" max="6" width="22.33203125" style="17" bestFit="1" customWidth="1"/>
    <col min="7" max="7" width="16.83203125" style="17" customWidth="1"/>
    <col min="8" max="8" width="13.83203125" style="17" customWidth="1"/>
    <col min="9" max="9" width="12" style="40" customWidth="1"/>
    <col min="10" max="10" width="13.5" style="40" customWidth="1"/>
    <col min="11" max="11" width="13" style="17" customWidth="1"/>
    <col min="12" max="12" width="8.5" style="17" customWidth="1"/>
    <col min="13" max="13" width="11.5" style="17" customWidth="1"/>
    <col min="14" max="14" width="13.5" style="17" customWidth="1"/>
    <col min="15" max="15" width="9.5" style="17" customWidth="1"/>
    <col min="16" max="16" width="12.5" style="17" customWidth="1"/>
    <col min="17" max="17" width="39.33203125" style="17" customWidth="1"/>
    <col min="18" max="19" width="9.5" style="3" customWidth="1"/>
    <col min="20" max="16384" width="9.5" style="3"/>
  </cols>
  <sheetData>
    <row r="1" spans="1:17" ht="37.5" customHeight="1" x14ac:dyDescent="0.2">
      <c r="A1" s="176" t="e" vm="1">
        <v>#VALUE!</v>
      </c>
      <c r="B1" s="177"/>
      <c r="C1" s="185" t="s">
        <v>0</v>
      </c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7"/>
      <c r="P1" s="1" t="s">
        <v>1</v>
      </c>
      <c r="Q1" s="2" t="s">
        <v>2</v>
      </c>
    </row>
    <row r="2" spans="1:17" ht="37.5" customHeight="1" x14ac:dyDescent="0.2">
      <c r="A2" s="178"/>
      <c r="B2" s="179"/>
      <c r="C2" s="188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90"/>
      <c r="P2" s="1" t="s">
        <v>3</v>
      </c>
      <c r="Q2" s="4">
        <v>0</v>
      </c>
    </row>
    <row r="3" spans="1:17" ht="37.5" customHeight="1" x14ac:dyDescent="0.2">
      <c r="A3" s="180"/>
      <c r="B3" s="181"/>
      <c r="C3" s="191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3"/>
      <c r="P3" s="1" t="s">
        <v>4</v>
      </c>
      <c r="Q3" s="5"/>
    </row>
    <row r="4" spans="1:17" x14ac:dyDescent="0.2">
      <c r="A4" s="182" t="s">
        <v>5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4"/>
    </row>
    <row r="5" spans="1:17" ht="14.75" customHeight="1" x14ac:dyDescent="0.2">
      <c r="A5" s="153" t="s">
        <v>6</v>
      </c>
      <c r="B5" s="154"/>
      <c r="C5" s="6" t="s">
        <v>219</v>
      </c>
      <c r="D5" s="6"/>
      <c r="E5" s="6"/>
      <c r="F5" s="6"/>
      <c r="G5" s="6"/>
      <c r="H5" s="6"/>
      <c r="I5" s="7"/>
      <c r="J5" s="7"/>
      <c r="K5" s="6"/>
      <c r="L5" s="6"/>
      <c r="M5" s="8"/>
      <c r="N5" s="6"/>
      <c r="O5" s="6"/>
      <c r="P5" s="6"/>
      <c r="Q5" s="9"/>
    </row>
    <row r="6" spans="1:17" ht="14.75" customHeight="1" x14ac:dyDescent="0.2">
      <c r="A6" s="153" t="s">
        <v>7</v>
      </c>
      <c r="B6" s="154"/>
      <c r="C6" s="10" t="s">
        <v>8</v>
      </c>
      <c r="D6" s="6"/>
      <c r="E6" s="6"/>
      <c r="F6" s="6"/>
      <c r="G6" s="6"/>
      <c r="H6" s="6"/>
      <c r="I6" s="7"/>
      <c r="J6" s="7"/>
      <c r="K6" s="6"/>
      <c r="L6" s="6"/>
      <c r="M6" s="8"/>
      <c r="N6" s="6"/>
      <c r="O6" s="6"/>
      <c r="P6" s="6"/>
      <c r="Q6" s="9"/>
    </row>
    <row r="7" spans="1:17" ht="15" customHeight="1" x14ac:dyDescent="0.2">
      <c r="A7" s="153" t="s">
        <v>9</v>
      </c>
      <c r="B7" s="154"/>
      <c r="C7" s="10" t="s">
        <v>10</v>
      </c>
      <c r="D7" s="6"/>
      <c r="E7" s="6"/>
      <c r="F7" s="6"/>
      <c r="G7" s="6"/>
      <c r="H7" s="6"/>
      <c r="I7" s="7"/>
      <c r="J7" s="7"/>
      <c r="K7" s="6"/>
      <c r="L7" s="6"/>
      <c r="M7" s="8"/>
      <c r="N7" s="6"/>
      <c r="O7" s="6"/>
      <c r="P7" s="6"/>
      <c r="Q7" s="9"/>
    </row>
    <row r="8" spans="1:17" ht="14.25" customHeight="1" x14ac:dyDescent="0.2">
      <c r="A8" s="6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17" ht="14.75" customHeight="1" x14ac:dyDescent="0.2">
      <c r="A9" s="194" t="s">
        <v>11</v>
      </c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6"/>
    </row>
    <row r="10" spans="1:17" ht="14.75" customHeight="1" x14ac:dyDescent="0.2">
      <c r="A10" s="153" t="s">
        <v>12</v>
      </c>
      <c r="B10" s="154"/>
      <c r="C10" s="157" t="s">
        <v>220</v>
      </c>
      <c r="D10" s="158"/>
      <c r="E10" s="158"/>
      <c r="F10" s="159"/>
      <c r="G10" s="70"/>
      <c r="H10" s="197" t="s">
        <v>13</v>
      </c>
      <c r="I10" s="198"/>
      <c r="J10" s="62" t="s">
        <v>14</v>
      </c>
      <c r="K10" s="6"/>
      <c r="L10" s="6"/>
      <c r="M10" s="8"/>
      <c r="N10" s="6"/>
      <c r="O10" s="6"/>
      <c r="P10" s="6"/>
      <c r="Q10" s="9"/>
    </row>
    <row r="11" spans="1:17" ht="14.75" customHeight="1" x14ac:dyDescent="0.2">
      <c r="A11" s="194" t="s">
        <v>15</v>
      </c>
      <c r="B11" s="195"/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6"/>
    </row>
    <row r="12" spans="1:17" ht="15" customHeight="1" x14ac:dyDescent="0.2">
      <c r="A12" s="153" t="s">
        <v>16</v>
      </c>
      <c r="B12" s="154"/>
      <c r="C12" s="157" t="s">
        <v>221</v>
      </c>
      <c r="D12" s="158"/>
      <c r="E12" s="158"/>
      <c r="F12" s="159"/>
      <c r="G12" s="71"/>
      <c r="H12" s="11" t="s">
        <v>17</v>
      </c>
      <c r="I12" s="12"/>
      <c r="J12" s="13"/>
      <c r="K12" s="6"/>
      <c r="L12" s="6"/>
      <c r="M12" s="8"/>
      <c r="N12" s="6"/>
      <c r="O12" s="6"/>
      <c r="P12" s="6"/>
      <c r="Q12" s="9"/>
    </row>
    <row r="13" spans="1:17" ht="15" customHeight="1" x14ac:dyDescent="0.2">
      <c r="A13" s="153" t="s">
        <v>18</v>
      </c>
      <c r="B13" s="154"/>
      <c r="C13" s="157" t="str">
        <f>CONCATENATE(E22,"/",E49,"/",E76)</f>
        <v>CS_K-CK-LCDT-04_R00/CS_R-CK-LCDT-04_R00/TF_TSB-10_R00</v>
      </c>
      <c r="D13" s="158"/>
      <c r="E13" s="158"/>
      <c r="F13" s="159"/>
      <c r="G13" s="71"/>
      <c r="H13" s="11" t="s">
        <v>19</v>
      </c>
      <c r="I13" s="12"/>
      <c r="J13" s="63"/>
      <c r="K13" s="6"/>
      <c r="L13" s="6"/>
      <c r="M13" s="8"/>
      <c r="N13" s="6"/>
      <c r="O13" s="6"/>
      <c r="P13" s="6"/>
      <c r="Q13" s="9"/>
    </row>
    <row r="14" spans="1:17" ht="15" customHeight="1" x14ac:dyDescent="0.2">
      <c r="A14" s="153" t="s">
        <v>20</v>
      </c>
      <c r="B14" s="154"/>
      <c r="C14" s="157" t="s">
        <v>14</v>
      </c>
      <c r="D14" s="158"/>
      <c r="E14" s="158"/>
      <c r="F14" s="159"/>
      <c r="G14" s="71"/>
      <c r="H14" s="11" t="s">
        <v>21</v>
      </c>
      <c r="I14" s="12"/>
      <c r="J14" s="63"/>
      <c r="K14" s="6"/>
      <c r="L14" s="6"/>
      <c r="M14" s="8"/>
      <c r="N14" s="6"/>
      <c r="O14" s="6"/>
      <c r="P14" s="6"/>
      <c r="Q14" s="9"/>
    </row>
    <row r="15" spans="1:17" ht="15" customHeight="1" x14ac:dyDescent="0.2">
      <c r="A15" s="153" t="s">
        <v>22</v>
      </c>
      <c r="B15" s="154"/>
      <c r="C15" s="157" t="s">
        <v>14</v>
      </c>
      <c r="D15" s="158"/>
      <c r="E15" s="158"/>
      <c r="F15" s="159"/>
      <c r="G15" s="71"/>
      <c r="H15" s="11" t="s">
        <v>23</v>
      </c>
      <c r="I15" s="12"/>
      <c r="J15" s="63"/>
      <c r="K15" s="6"/>
      <c r="L15" s="6"/>
      <c r="M15" s="8"/>
      <c r="N15" s="6"/>
      <c r="O15" s="6"/>
      <c r="P15" s="6"/>
      <c r="Q15" s="9"/>
    </row>
    <row r="16" spans="1:17" ht="15" customHeight="1" x14ac:dyDescent="0.2">
      <c r="A16" s="153" t="s">
        <v>24</v>
      </c>
      <c r="B16" s="154"/>
      <c r="C16" s="157" t="s">
        <v>14</v>
      </c>
      <c r="D16" s="158"/>
      <c r="E16" s="158"/>
      <c r="F16" s="159"/>
      <c r="G16" s="71"/>
      <c r="H16" s="11" t="s">
        <v>25</v>
      </c>
      <c r="I16" s="12"/>
      <c r="J16" s="63"/>
      <c r="K16" s="6"/>
      <c r="L16" s="6"/>
      <c r="M16" s="8"/>
      <c r="N16" s="6"/>
      <c r="O16" s="6"/>
      <c r="P16" s="6"/>
      <c r="Q16" s="9"/>
    </row>
    <row r="17" spans="1:18" ht="7.5" customHeight="1" x14ac:dyDescent="0.2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</row>
    <row r="18" spans="1:18" ht="29" customHeight="1" x14ac:dyDescent="0.2">
      <c r="A18" s="163" t="s">
        <v>26</v>
      </c>
      <c r="B18" s="163"/>
      <c r="C18" s="85" t="e">
        <f>#REF!</f>
        <v>#REF!</v>
      </c>
      <c r="D18" s="204" t="s">
        <v>27</v>
      </c>
      <c r="E18" s="205"/>
      <c r="F18" s="212" t="e">
        <f>50/150*C18</f>
        <v>#REF!</v>
      </c>
      <c r="G18" s="212"/>
      <c r="H18" s="164" t="s">
        <v>28</v>
      </c>
      <c r="I18" s="164"/>
      <c r="J18" s="165">
        <v>10000</v>
      </c>
      <c r="K18" s="165"/>
      <c r="L18" s="165"/>
      <c r="M18" s="165"/>
      <c r="N18" s="165"/>
      <c r="O18" s="165"/>
      <c r="P18" s="165"/>
      <c r="Q18" s="165"/>
    </row>
    <row r="19" spans="1:18" ht="15" customHeight="1" x14ac:dyDescent="0.2">
      <c r="A19" s="213"/>
      <c r="B19" s="213"/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</row>
    <row r="20" spans="1:18" ht="15" customHeight="1" x14ac:dyDescent="0.2">
      <c r="A20" s="128" t="s">
        <v>29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</row>
    <row r="21" spans="1:18" ht="15" customHeight="1" x14ac:dyDescent="0.2">
      <c r="A21" s="119" t="s">
        <v>30</v>
      </c>
      <c r="B21" s="119"/>
      <c r="C21" s="119"/>
      <c r="D21" s="119"/>
      <c r="E21" s="120" t="s">
        <v>31</v>
      </c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2"/>
    </row>
    <row r="22" spans="1:18" ht="15" customHeight="1" x14ac:dyDescent="0.2">
      <c r="A22" s="119" t="s">
        <v>32</v>
      </c>
      <c r="B22" s="119"/>
      <c r="C22" s="119"/>
      <c r="D22" s="119"/>
      <c r="E22" s="120" t="s">
        <v>222</v>
      </c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2"/>
    </row>
    <row r="23" spans="1:18" ht="15" customHeight="1" x14ac:dyDescent="0.2">
      <c r="A23" s="119" t="s">
        <v>33</v>
      </c>
      <c r="B23" s="119"/>
      <c r="C23" s="119"/>
      <c r="D23" s="119"/>
      <c r="E23" s="167">
        <v>0.38</v>
      </c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  <row r="24" spans="1:18" ht="15" customHeight="1" x14ac:dyDescent="0.2">
      <c r="A24" s="119" t="s">
        <v>34</v>
      </c>
      <c r="B24" s="119"/>
      <c r="C24" s="119"/>
      <c r="D24" s="119"/>
      <c r="E24" s="123">
        <v>3.0779999999999998E-2</v>
      </c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5"/>
      <c r="R24" s="55"/>
    </row>
    <row r="25" spans="1:18" s="17" customFormat="1" ht="48" customHeight="1" x14ac:dyDescent="0.2">
      <c r="A25" s="14" t="s">
        <v>35</v>
      </c>
      <c r="B25" s="14" t="s">
        <v>36</v>
      </c>
      <c r="C25" s="166" t="s">
        <v>37</v>
      </c>
      <c r="D25" s="166"/>
      <c r="E25" s="14" t="s">
        <v>38</v>
      </c>
      <c r="F25" s="14" t="s">
        <v>39</v>
      </c>
      <c r="G25" s="14" t="s">
        <v>40</v>
      </c>
      <c r="H25" s="14" t="s">
        <v>41</v>
      </c>
      <c r="I25" s="16" t="s">
        <v>42</v>
      </c>
      <c r="J25" s="16" t="s">
        <v>43</v>
      </c>
      <c r="K25" s="14" t="s">
        <v>44</v>
      </c>
      <c r="L25" s="14" t="s">
        <v>45</v>
      </c>
      <c r="M25" s="14" t="s">
        <v>46</v>
      </c>
      <c r="N25" s="14" t="s">
        <v>47</v>
      </c>
      <c r="O25" s="14" t="s">
        <v>48</v>
      </c>
      <c r="P25" s="14" t="s">
        <v>49</v>
      </c>
      <c r="Q25" s="14" t="s">
        <v>50</v>
      </c>
    </row>
    <row r="26" spans="1:18" ht="15" customHeight="1" x14ac:dyDescent="0.2">
      <c r="A26" s="18">
        <v>1</v>
      </c>
      <c r="B26" s="18" t="e">
        <f>_xlfn.XLOOKUP(C26,#REF!,#REF!)</f>
        <v>#REF!</v>
      </c>
      <c r="C26" s="20" t="s">
        <v>59</v>
      </c>
      <c r="D26" s="9"/>
      <c r="E26" s="24" t="e">
        <f>_xlfn.XLOOKUP(B26,#REF!,#REF!)</f>
        <v>#REF!</v>
      </c>
      <c r="F26" s="18" t="e">
        <f>_xlfn.XLOOKUP(B26,#REF!,#REF!)</f>
        <v>#REF!</v>
      </c>
      <c r="G26" s="21">
        <v>0.1209908</v>
      </c>
      <c r="H26" s="23" t="e">
        <f>G26*($C$18-$F$18)*$E$24</f>
        <v>#REF!</v>
      </c>
      <c r="I26" s="22" t="e">
        <f>_xlfn.XLOOKUP(B26,#REF!,#REF!)</f>
        <v>#REF!</v>
      </c>
      <c r="J26" s="22" t="e">
        <f t="shared" ref="J26" si="0">G26*I26</f>
        <v>#REF!</v>
      </c>
      <c r="K26" s="73" t="e">
        <f t="shared" ref="K26" si="1">H26*$J$18/1000000</f>
        <v>#REF!</v>
      </c>
      <c r="L26" s="24"/>
      <c r="M26" s="74">
        <v>1</v>
      </c>
      <c r="N26" s="113" t="s">
        <v>54</v>
      </c>
      <c r="O26" s="113" t="s">
        <v>55</v>
      </c>
      <c r="P26" s="113" t="s">
        <v>56</v>
      </c>
      <c r="Q26" s="116" t="s">
        <v>57</v>
      </c>
      <c r="R26" s="79"/>
    </row>
    <row r="27" spans="1:18" ht="16" x14ac:dyDescent="0.2">
      <c r="A27" s="18">
        <v>2</v>
      </c>
      <c r="B27" s="18" t="e">
        <f>_xlfn.XLOOKUP(C27,#REF!,#REF!)</f>
        <v>#REF!</v>
      </c>
      <c r="C27" s="20" t="s">
        <v>90</v>
      </c>
      <c r="D27" s="9"/>
      <c r="E27" s="24" t="e">
        <f>_xlfn.XLOOKUP(B27,#REF!,#REF!)</f>
        <v>#REF!</v>
      </c>
      <c r="F27" s="18" t="e">
        <f>_xlfn.XLOOKUP(B27,#REF!,#REF!)</f>
        <v>#REF!</v>
      </c>
      <c r="G27" s="25">
        <v>3.6259999999999999E-3</v>
      </c>
      <c r="H27" s="23" t="e">
        <f t="shared" ref="H27:H39" si="2">G27*($C$18-$F$18)*$E$24</f>
        <v>#REF!</v>
      </c>
      <c r="I27" s="22" t="e">
        <f>_xlfn.XLOOKUP(B27,#REF!,#REF!)</f>
        <v>#REF!</v>
      </c>
      <c r="J27" s="22" t="e">
        <f t="shared" ref="J27:J39" si="3">G27*I27</f>
        <v>#REF!</v>
      </c>
      <c r="K27" s="73" t="e">
        <f t="shared" ref="K27:K39" si="4">H27*$J$18/1000000</f>
        <v>#REF!</v>
      </c>
      <c r="L27" s="24"/>
      <c r="M27" s="110">
        <v>2</v>
      </c>
      <c r="N27" s="114"/>
      <c r="O27" s="114"/>
      <c r="P27" s="114"/>
      <c r="Q27" s="117"/>
      <c r="R27" s="79"/>
    </row>
    <row r="28" spans="1:18" ht="16" x14ac:dyDescent="0.2">
      <c r="A28" s="18">
        <v>3</v>
      </c>
      <c r="B28" s="18" t="e">
        <f>_xlfn.XLOOKUP(C28,#REF!,#REF!)</f>
        <v>#REF!</v>
      </c>
      <c r="C28" s="20" t="s">
        <v>91</v>
      </c>
      <c r="D28" s="9"/>
      <c r="E28" s="24" t="e">
        <f>_xlfn.XLOOKUP(B28,#REF!,#REF!)</f>
        <v>#REF!</v>
      </c>
      <c r="F28" s="18" t="e">
        <f>_xlfn.XLOOKUP(B28,#REF!,#REF!)</f>
        <v>#REF!</v>
      </c>
      <c r="G28" s="25">
        <v>3.6259999999999999E-3</v>
      </c>
      <c r="H28" s="23" t="e">
        <f t="shared" si="2"/>
        <v>#REF!</v>
      </c>
      <c r="I28" s="22" t="e">
        <f>_xlfn.XLOOKUP(B28,#REF!,#REF!)</f>
        <v>#REF!</v>
      </c>
      <c r="J28" s="22" t="e">
        <f t="shared" si="3"/>
        <v>#REF!</v>
      </c>
      <c r="K28" s="73" t="e">
        <f t="shared" si="4"/>
        <v>#REF!</v>
      </c>
      <c r="L28" s="24"/>
      <c r="M28" s="111"/>
      <c r="N28" s="114"/>
      <c r="O28" s="114"/>
      <c r="P28" s="114"/>
      <c r="Q28" s="117"/>
      <c r="R28" s="79"/>
    </row>
    <row r="29" spans="1:18" ht="16" x14ac:dyDescent="0.2">
      <c r="A29" s="18">
        <v>4</v>
      </c>
      <c r="B29" s="18" t="s">
        <v>212</v>
      </c>
      <c r="C29" s="20" t="s">
        <v>224</v>
      </c>
      <c r="D29" s="9"/>
      <c r="E29" s="24" t="s">
        <v>118</v>
      </c>
      <c r="F29" s="18"/>
      <c r="G29" s="25">
        <v>2.4196200000000001E-2</v>
      </c>
      <c r="H29" s="23" t="e">
        <f t="shared" si="2"/>
        <v>#REF!</v>
      </c>
      <c r="I29" s="22">
        <v>2</v>
      </c>
      <c r="J29" s="22">
        <f t="shared" si="3"/>
        <v>4.8392400000000002E-2</v>
      </c>
      <c r="K29" s="73" t="e">
        <f t="shared" si="4"/>
        <v>#REF!</v>
      </c>
      <c r="L29" s="24"/>
      <c r="M29" s="111"/>
      <c r="N29" s="114"/>
      <c r="O29" s="114"/>
      <c r="P29" s="114"/>
      <c r="Q29" s="117"/>
      <c r="R29" s="79"/>
    </row>
    <row r="30" spans="1:18" ht="16" x14ac:dyDescent="0.2">
      <c r="A30" s="18">
        <v>5</v>
      </c>
      <c r="B30" s="18" t="s">
        <v>51</v>
      </c>
      <c r="C30" s="20" t="s">
        <v>52</v>
      </c>
      <c r="D30" s="9"/>
      <c r="E30" s="24" t="s">
        <v>53</v>
      </c>
      <c r="F30" s="18"/>
      <c r="G30" s="25">
        <v>0.38593379999999999</v>
      </c>
      <c r="H30" s="23" t="e">
        <f t="shared" si="2"/>
        <v>#REF!</v>
      </c>
      <c r="I30" s="22"/>
      <c r="J30" s="22">
        <f t="shared" si="3"/>
        <v>0</v>
      </c>
      <c r="K30" s="73" t="e">
        <f t="shared" si="4"/>
        <v>#REF!</v>
      </c>
      <c r="L30" s="24"/>
      <c r="M30" s="111"/>
      <c r="N30" s="114"/>
      <c r="O30" s="114"/>
      <c r="P30" s="114"/>
      <c r="Q30" s="117"/>
      <c r="R30" s="79"/>
    </row>
    <row r="31" spans="1:18" ht="16" x14ac:dyDescent="0.2">
      <c r="A31" s="18">
        <v>6</v>
      </c>
      <c r="B31" s="18" t="e">
        <f>_xlfn.XLOOKUP(C31,#REF!,#REF!)</f>
        <v>#REF!</v>
      </c>
      <c r="C31" s="20" t="s">
        <v>170</v>
      </c>
      <c r="D31" s="9"/>
      <c r="E31" s="24" t="e">
        <f>_xlfn.XLOOKUP(B31,#REF!,#REF!)</f>
        <v>#REF!</v>
      </c>
      <c r="F31" s="18" t="e">
        <f>_xlfn.XLOOKUP(B31,#REF!,#REF!)</f>
        <v>#REF!</v>
      </c>
      <c r="G31" s="25">
        <v>1.2102999999999999E-2</v>
      </c>
      <c r="H31" s="23" t="e">
        <f t="shared" si="2"/>
        <v>#REF!</v>
      </c>
      <c r="I31" s="22" t="e">
        <f>_xlfn.XLOOKUP(B31,#REF!,#REF!)</f>
        <v>#REF!</v>
      </c>
      <c r="J31" s="22" t="e">
        <f t="shared" si="3"/>
        <v>#REF!</v>
      </c>
      <c r="K31" s="73" t="e">
        <f t="shared" si="4"/>
        <v>#REF!</v>
      </c>
      <c r="L31" s="24"/>
      <c r="M31" s="111"/>
      <c r="N31" s="114"/>
      <c r="O31" s="114"/>
      <c r="P31" s="114"/>
      <c r="Q31" s="117"/>
      <c r="R31" s="79"/>
    </row>
    <row r="32" spans="1:18" ht="16" x14ac:dyDescent="0.2">
      <c r="A32" s="18">
        <v>7</v>
      </c>
      <c r="B32" s="18" t="e">
        <f>_xlfn.XLOOKUP(C32,#REF!,#REF!)</f>
        <v>#REF!</v>
      </c>
      <c r="C32" s="20" t="s">
        <v>94</v>
      </c>
      <c r="D32" s="9"/>
      <c r="E32" s="24" t="e">
        <f>_xlfn.XLOOKUP(B32,#REF!,#REF!)</f>
        <v>#REF!</v>
      </c>
      <c r="F32" s="18" t="e">
        <f>_xlfn.XLOOKUP(B32,#REF!,#REF!)</f>
        <v>#REF!</v>
      </c>
      <c r="G32" s="25">
        <v>9.682399999999999E-3</v>
      </c>
      <c r="H32" s="23" t="e">
        <f t="shared" si="2"/>
        <v>#REF!</v>
      </c>
      <c r="I32" s="22" t="e">
        <f>_xlfn.XLOOKUP(B32,#REF!,#REF!)</f>
        <v>#REF!</v>
      </c>
      <c r="J32" s="22" t="e">
        <f t="shared" si="3"/>
        <v>#REF!</v>
      </c>
      <c r="K32" s="73" t="e">
        <f t="shared" si="4"/>
        <v>#REF!</v>
      </c>
      <c r="L32" s="24"/>
      <c r="M32" s="111"/>
      <c r="N32" s="114"/>
      <c r="O32" s="114"/>
      <c r="P32" s="114"/>
      <c r="Q32" s="117"/>
      <c r="R32" s="79"/>
    </row>
    <row r="33" spans="1:18" ht="16" x14ac:dyDescent="0.2">
      <c r="A33" s="18">
        <v>8</v>
      </c>
      <c r="B33" s="18" t="e">
        <f>_xlfn.XLOOKUP(C33,#REF!,#REF!)</f>
        <v>#REF!</v>
      </c>
      <c r="C33" s="20" t="s">
        <v>143</v>
      </c>
      <c r="D33" s="9"/>
      <c r="E33" s="24" t="e">
        <f>_xlfn.XLOOKUP(B33,#REF!,#REF!)</f>
        <v>#REF!</v>
      </c>
      <c r="F33" s="18" t="e">
        <f>_xlfn.XLOOKUP(B33,#REF!,#REF!)</f>
        <v>#REF!</v>
      </c>
      <c r="G33" s="25">
        <v>1.08878E-2</v>
      </c>
      <c r="H33" s="23" t="e">
        <f t="shared" si="2"/>
        <v>#REF!</v>
      </c>
      <c r="I33" s="22" t="e">
        <f>_xlfn.XLOOKUP(B33,#REF!,#REF!)</f>
        <v>#REF!</v>
      </c>
      <c r="J33" s="22" t="e">
        <f t="shared" si="3"/>
        <v>#REF!</v>
      </c>
      <c r="K33" s="73" t="e">
        <f t="shared" si="4"/>
        <v>#REF!</v>
      </c>
      <c r="L33" s="24"/>
      <c r="M33" s="111"/>
      <c r="N33" s="114"/>
      <c r="O33" s="114"/>
      <c r="P33" s="114"/>
      <c r="Q33" s="117"/>
      <c r="R33" s="79"/>
    </row>
    <row r="34" spans="1:18" ht="16" x14ac:dyDescent="0.2">
      <c r="A34" s="18">
        <v>9</v>
      </c>
      <c r="B34" s="18" t="e">
        <f>_xlfn.XLOOKUP(C34,#REF!,#REF!)</f>
        <v>#REF!</v>
      </c>
      <c r="C34" s="20" t="s">
        <v>97</v>
      </c>
      <c r="D34" s="9"/>
      <c r="E34" s="24" t="e">
        <f>_xlfn.XLOOKUP(B34,#REF!,#REF!)</f>
        <v>#REF!</v>
      </c>
      <c r="F34" s="18" t="e">
        <f>_xlfn.XLOOKUP(B34,#REF!,#REF!)</f>
        <v>#REF!</v>
      </c>
      <c r="G34" s="25">
        <v>2.4499999999999999E-4</v>
      </c>
      <c r="H34" s="23" t="e">
        <f t="shared" si="2"/>
        <v>#REF!</v>
      </c>
      <c r="I34" s="22" t="e">
        <f>_xlfn.XLOOKUP(B34,#REF!,#REF!)</f>
        <v>#REF!</v>
      </c>
      <c r="J34" s="22" t="e">
        <f t="shared" si="3"/>
        <v>#REF!</v>
      </c>
      <c r="K34" s="73" t="e">
        <f t="shared" si="4"/>
        <v>#REF!</v>
      </c>
      <c r="L34" s="24"/>
      <c r="M34" s="111"/>
      <c r="N34" s="114"/>
      <c r="O34" s="114"/>
      <c r="P34" s="114"/>
      <c r="Q34" s="117"/>
      <c r="R34" s="79"/>
    </row>
    <row r="35" spans="1:18" ht="16" x14ac:dyDescent="0.2">
      <c r="A35" s="18">
        <v>10</v>
      </c>
      <c r="B35" s="18" t="e">
        <f>_xlfn.XLOOKUP(C35,#REF!,#REF!)</f>
        <v>#REF!</v>
      </c>
      <c r="C35" s="20" t="s">
        <v>96</v>
      </c>
      <c r="D35" s="9"/>
      <c r="E35" s="24" t="e">
        <f>_xlfn.XLOOKUP(B35,#REF!,#REF!)</f>
        <v>#REF!</v>
      </c>
      <c r="F35" s="18" t="e">
        <f>_xlfn.XLOOKUP(B35,#REF!,#REF!)</f>
        <v>#REF!</v>
      </c>
      <c r="G35" s="25">
        <v>9.682399999999999E-3</v>
      </c>
      <c r="H35" s="23" t="e">
        <f t="shared" si="2"/>
        <v>#REF!</v>
      </c>
      <c r="I35" s="22" t="e">
        <f>_xlfn.XLOOKUP(B35,#REF!,#REF!)</f>
        <v>#REF!</v>
      </c>
      <c r="J35" s="22" t="e">
        <f t="shared" si="3"/>
        <v>#REF!</v>
      </c>
      <c r="K35" s="73" t="e">
        <f t="shared" si="4"/>
        <v>#REF!</v>
      </c>
      <c r="L35" s="24"/>
      <c r="M35" s="111"/>
      <c r="N35" s="114"/>
      <c r="O35" s="114"/>
      <c r="P35" s="114"/>
      <c r="Q35" s="117"/>
      <c r="R35" s="79"/>
    </row>
    <row r="36" spans="1:18" ht="16" x14ac:dyDescent="0.2">
      <c r="A36" s="18">
        <v>11</v>
      </c>
      <c r="B36" s="18" t="e">
        <f>_xlfn.XLOOKUP(C36,#REF!,#REF!)</f>
        <v>#REF!</v>
      </c>
      <c r="C36" s="20" t="s">
        <v>146</v>
      </c>
      <c r="D36" s="9"/>
      <c r="E36" s="24" t="e">
        <f>_xlfn.XLOOKUP(B36,#REF!,#REF!)</f>
        <v>#REF!</v>
      </c>
      <c r="F36" s="18" t="e">
        <f>_xlfn.XLOOKUP(B36,#REF!,#REF!)</f>
        <v>#REF!</v>
      </c>
      <c r="G36" s="25">
        <v>2.4205999999999997E-3</v>
      </c>
      <c r="H36" s="23" t="e">
        <f t="shared" si="2"/>
        <v>#REF!</v>
      </c>
      <c r="I36" s="22" t="e">
        <f>_xlfn.XLOOKUP(B36,#REF!,#REF!)</f>
        <v>#REF!</v>
      </c>
      <c r="J36" s="22" t="e">
        <f t="shared" si="3"/>
        <v>#REF!</v>
      </c>
      <c r="K36" s="73" t="e">
        <f t="shared" si="4"/>
        <v>#REF!</v>
      </c>
      <c r="L36" s="24"/>
      <c r="M36" s="111"/>
      <c r="N36" s="114"/>
      <c r="O36" s="114"/>
      <c r="P36" s="114"/>
      <c r="Q36" s="117"/>
      <c r="R36" s="79"/>
    </row>
    <row r="37" spans="1:18" ht="16" x14ac:dyDescent="0.2">
      <c r="A37" s="18">
        <v>12</v>
      </c>
      <c r="B37" s="18" t="e">
        <f>_xlfn.XLOOKUP(C37,#REF!,#REF!)</f>
        <v>#REF!</v>
      </c>
      <c r="C37" s="20" t="s">
        <v>93</v>
      </c>
      <c r="D37" s="9"/>
      <c r="E37" s="24" t="s">
        <v>53</v>
      </c>
      <c r="F37" s="18" t="e">
        <f>_xlfn.XLOOKUP(B37,#REF!,#REF!)</f>
        <v>#REF!</v>
      </c>
      <c r="G37" s="25">
        <v>9.800000000000001E-6</v>
      </c>
      <c r="H37" s="23" t="e">
        <f t="shared" si="2"/>
        <v>#REF!</v>
      </c>
      <c r="I37" s="22" t="e">
        <f>_xlfn.XLOOKUP(B37,#REF!,#REF!)</f>
        <v>#REF!</v>
      </c>
      <c r="J37" s="22" t="e">
        <f t="shared" si="3"/>
        <v>#REF!</v>
      </c>
      <c r="K37" s="73" t="e">
        <f t="shared" si="4"/>
        <v>#REF!</v>
      </c>
      <c r="L37" s="24"/>
      <c r="M37" s="111"/>
      <c r="N37" s="114"/>
      <c r="O37" s="114"/>
      <c r="P37" s="114"/>
      <c r="Q37" s="117"/>
      <c r="R37" s="79"/>
    </row>
    <row r="38" spans="1:18" ht="16" x14ac:dyDescent="0.2">
      <c r="A38" s="18">
        <v>13</v>
      </c>
      <c r="B38" s="18" t="e">
        <f>_xlfn.XLOOKUP(C38,#REF!,#REF!)</f>
        <v>#REF!</v>
      </c>
      <c r="C38" s="20" t="s">
        <v>193</v>
      </c>
      <c r="D38" s="9"/>
      <c r="E38" s="24" t="e">
        <f>_xlfn.XLOOKUP(B38,#REF!,#REF!)</f>
        <v>#REF!</v>
      </c>
      <c r="F38" s="18" t="e">
        <f>_xlfn.XLOOKUP(B38,#REF!,#REF!)</f>
        <v>#REF!</v>
      </c>
      <c r="G38" s="25">
        <v>2.4205999999999997E-3</v>
      </c>
      <c r="H38" s="23" t="e">
        <f t="shared" si="2"/>
        <v>#REF!</v>
      </c>
      <c r="I38" s="22" t="e">
        <f>_xlfn.XLOOKUP(B38,#REF!,#REF!)</f>
        <v>#REF!</v>
      </c>
      <c r="J38" s="22" t="e">
        <f t="shared" si="3"/>
        <v>#REF!</v>
      </c>
      <c r="K38" s="73" t="e">
        <f t="shared" si="4"/>
        <v>#REF!</v>
      </c>
      <c r="L38" s="24"/>
      <c r="M38" s="111"/>
      <c r="N38" s="114"/>
      <c r="O38" s="114"/>
      <c r="P38" s="114"/>
      <c r="Q38" s="117"/>
      <c r="R38" s="79"/>
    </row>
    <row r="39" spans="1:18" ht="16" x14ac:dyDescent="0.2">
      <c r="A39" s="18">
        <v>14</v>
      </c>
      <c r="B39" s="18" t="e">
        <f>_xlfn.XLOOKUP(C39,#REF!,#REF!)</f>
        <v>#REF!</v>
      </c>
      <c r="C39" s="20" t="s">
        <v>196</v>
      </c>
      <c r="D39" s="9"/>
      <c r="E39" s="24" t="e">
        <f>_xlfn.XLOOKUP(B39,#REF!,#REF!)</f>
        <v>#REF!</v>
      </c>
      <c r="F39" s="18" t="e">
        <f>_xlfn.XLOOKUP(B39,#REF!,#REF!)</f>
        <v>#REF!</v>
      </c>
      <c r="G39" s="25">
        <v>9.7019999999999995E-4</v>
      </c>
      <c r="H39" s="23" t="e">
        <f t="shared" si="2"/>
        <v>#REF!</v>
      </c>
      <c r="I39" s="22" t="e">
        <f>_xlfn.XLOOKUP(B39,#REF!,#REF!)</f>
        <v>#REF!</v>
      </c>
      <c r="J39" s="22" t="e">
        <f t="shared" si="3"/>
        <v>#REF!</v>
      </c>
      <c r="K39" s="73" t="e">
        <f t="shared" si="4"/>
        <v>#REF!</v>
      </c>
      <c r="L39" s="24"/>
      <c r="M39" s="111"/>
      <c r="N39" s="114"/>
      <c r="O39" s="114"/>
      <c r="P39" s="114"/>
      <c r="Q39" s="117"/>
      <c r="R39" s="79"/>
    </row>
    <row r="40" spans="1:18" ht="16" x14ac:dyDescent="0.2">
      <c r="A40" s="18">
        <v>15</v>
      </c>
      <c r="B40" s="18" t="e">
        <f>_xlfn.XLOOKUP(C40,#REF!,#REF!)</f>
        <v>#REF!</v>
      </c>
      <c r="C40" s="20" t="s">
        <v>208</v>
      </c>
      <c r="D40" s="9"/>
      <c r="E40" s="24" t="e">
        <f>_xlfn.XLOOKUP(B40,#REF!,#REF!)</f>
        <v>#REF!</v>
      </c>
      <c r="F40" s="18" t="e">
        <f>_xlfn.XLOOKUP(B40,#REF!,#REF!)</f>
        <v>#REF!</v>
      </c>
      <c r="G40" s="25">
        <v>2.4196200000000001E-2</v>
      </c>
      <c r="H40" s="23" t="e">
        <f t="shared" ref="H40:H44" si="5">G40*($C$18-$F$18)*$E$24</f>
        <v>#REF!</v>
      </c>
      <c r="I40" s="22" t="e">
        <f>_xlfn.XLOOKUP(B40,#REF!,#REF!)</f>
        <v>#REF!</v>
      </c>
      <c r="J40" s="22" t="e">
        <f t="shared" ref="J40:J44" si="6">G40*I40</f>
        <v>#REF!</v>
      </c>
      <c r="K40" s="73" t="e">
        <f t="shared" ref="K40:K44" si="7">H40*$J$18/1000000</f>
        <v>#REF!</v>
      </c>
      <c r="L40" s="24"/>
      <c r="M40" s="111"/>
      <c r="N40" s="114"/>
      <c r="O40" s="114"/>
      <c r="P40" s="114"/>
      <c r="Q40" s="117"/>
      <c r="R40" s="79"/>
    </row>
    <row r="41" spans="1:18" ht="16" x14ac:dyDescent="0.2">
      <c r="A41" s="18">
        <v>16</v>
      </c>
      <c r="B41" s="18" t="e">
        <f>_xlfn.XLOOKUP(C41,#REF!,#REF!)</f>
        <v>#REF!</v>
      </c>
      <c r="C41" s="20" t="s">
        <v>92</v>
      </c>
      <c r="D41" s="9"/>
      <c r="E41" s="24" t="e">
        <f>_xlfn.XLOOKUP(B41,#REF!,#REF!)</f>
        <v>#REF!</v>
      </c>
      <c r="F41" s="18" t="e">
        <f>_xlfn.XLOOKUP(B41,#REF!,#REF!)</f>
        <v>#REF!</v>
      </c>
      <c r="G41" s="25">
        <v>6.0466000000000001E-3</v>
      </c>
      <c r="H41" s="23" t="e">
        <f t="shared" si="5"/>
        <v>#REF!</v>
      </c>
      <c r="I41" s="22" t="e">
        <f>_xlfn.XLOOKUP(B41,#REF!,#REF!)</f>
        <v>#REF!</v>
      </c>
      <c r="J41" s="22" t="e">
        <f t="shared" si="6"/>
        <v>#REF!</v>
      </c>
      <c r="K41" s="73" t="e">
        <f t="shared" si="7"/>
        <v>#REF!</v>
      </c>
      <c r="L41" s="24"/>
      <c r="M41" s="111"/>
      <c r="N41" s="114"/>
      <c r="O41" s="114"/>
      <c r="P41" s="114"/>
      <c r="Q41" s="117"/>
      <c r="R41" s="79"/>
    </row>
    <row r="42" spans="1:18" ht="16" x14ac:dyDescent="0.2">
      <c r="A42" s="18">
        <v>17</v>
      </c>
      <c r="B42" s="18" t="e">
        <f>_xlfn.XLOOKUP(C42,#REF!,#REF!)</f>
        <v>#REF!</v>
      </c>
      <c r="C42" s="20" t="s">
        <v>60</v>
      </c>
      <c r="D42" s="9"/>
      <c r="E42" s="24" t="e">
        <f>_xlfn.XLOOKUP(B42,#REF!,#REF!)</f>
        <v>#REF!</v>
      </c>
      <c r="F42" s="18" t="e">
        <f>_xlfn.XLOOKUP(B42,#REF!,#REF!)</f>
        <v>#REF!</v>
      </c>
      <c r="G42" s="25">
        <v>0.24197179999999999</v>
      </c>
      <c r="H42" s="23" t="e">
        <f t="shared" si="5"/>
        <v>#REF!</v>
      </c>
      <c r="I42" s="22" t="e">
        <f>_xlfn.XLOOKUP(B42,#REF!,#REF!)</f>
        <v>#REF!</v>
      </c>
      <c r="J42" s="22" t="e">
        <f t="shared" si="6"/>
        <v>#REF!</v>
      </c>
      <c r="K42" s="73" t="e">
        <f t="shared" si="7"/>
        <v>#REF!</v>
      </c>
      <c r="L42" s="24"/>
      <c r="M42" s="111"/>
      <c r="N42" s="114"/>
      <c r="O42" s="114"/>
      <c r="P42" s="114"/>
      <c r="Q42" s="117"/>
      <c r="R42" s="79"/>
    </row>
    <row r="43" spans="1:18" ht="16" x14ac:dyDescent="0.2">
      <c r="A43" s="18">
        <v>18</v>
      </c>
      <c r="B43" s="18" t="e">
        <f>_xlfn.XLOOKUP(C43,#REF!,#REF!)</f>
        <v>#REF!</v>
      </c>
      <c r="C43" s="98" t="s">
        <v>58</v>
      </c>
      <c r="D43" s="99"/>
      <c r="E43" s="24" t="s">
        <v>53</v>
      </c>
      <c r="F43" s="18" t="e">
        <f>_xlfn.XLOOKUP(B43,#REF!,#REF!)</f>
        <v>#REF!</v>
      </c>
      <c r="G43" s="25">
        <v>0.1209908</v>
      </c>
      <c r="H43" s="23" t="e">
        <f t="shared" si="5"/>
        <v>#REF!</v>
      </c>
      <c r="I43" s="22" t="e">
        <f>_xlfn.XLOOKUP(B43,#REF!,#REF!)</f>
        <v>#REF!</v>
      </c>
      <c r="J43" s="22" t="e">
        <f t="shared" si="6"/>
        <v>#REF!</v>
      </c>
      <c r="K43" s="73" t="e">
        <f t="shared" si="7"/>
        <v>#REF!</v>
      </c>
      <c r="L43" s="24"/>
      <c r="M43" s="112"/>
      <c r="N43" s="115"/>
      <c r="O43" s="115"/>
      <c r="P43" s="115"/>
      <c r="Q43" s="118"/>
      <c r="R43" s="79"/>
    </row>
    <row r="44" spans="1:18" ht="16" x14ac:dyDescent="0.2">
      <c r="A44" s="18">
        <v>19</v>
      </c>
      <c r="B44" s="18" t="s">
        <v>213</v>
      </c>
      <c r="C44" s="86" t="s">
        <v>211</v>
      </c>
      <c r="D44" s="72"/>
      <c r="E44" s="24" t="s">
        <v>118</v>
      </c>
      <c r="F44" s="18"/>
      <c r="G44" s="100">
        <v>0.02</v>
      </c>
      <c r="H44" s="23" t="e">
        <f t="shared" si="5"/>
        <v>#REF!</v>
      </c>
      <c r="I44" s="22">
        <v>0.5</v>
      </c>
      <c r="J44" s="22">
        <f t="shared" si="6"/>
        <v>0.01</v>
      </c>
      <c r="K44" s="73" t="e">
        <f t="shared" si="7"/>
        <v>#REF!</v>
      </c>
      <c r="L44" s="24"/>
      <c r="M44" s="74">
        <v>3</v>
      </c>
      <c r="N44" s="75" t="s">
        <v>54</v>
      </c>
      <c r="O44" s="76" t="s">
        <v>55</v>
      </c>
      <c r="P44" s="77" t="s">
        <v>62</v>
      </c>
      <c r="Q44" s="81" t="s">
        <v>63</v>
      </c>
      <c r="R44" s="79"/>
    </row>
    <row r="45" spans="1:18" ht="14.5" customHeight="1" x14ac:dyDescent="0.2">
      <c r="A45" s="209" t="s">
        <v>64</v>
      </c>
      <c r="B45" s="210"/>
      <c r="C45" s="210"/>
      <c r="D45" s="210"/>
      <c r="E45" s="210"/>
      <c r="F45" s="211"/>
      <c r="G45" s="56">
        <f>SUM(G26:G44)</f>
        <v>0.99999999999999989</v>
      </c>
      <c r="H45" s="66" t="e">
        <f>SUM(H26:H44)</f>
        <v>#REF!</v>
      </c>
      <c r="I45" s="26"/>
      <c r="J45" s="26" t="e">
        <f>SUM(J26:J44)</f>
        <v>#REF!</v>
      </c>
      <c r="K45" s="27"/>
      <c r="L45" s="27"/>
      <c r="M45" s="67"/>
      <c r="N45" s="67"/>
      <c r="O45" s="67"/>
      <c r="P45" s="67"/>
      <c r="Q45" s="78"/>
      <c r="R45" s="80"/>
    </row>
    <row r="46" spans="1:18" ht="15" customHeight="1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</row>
    <row r="47" spans="1:18" ht="15" customHeight="1" x14ac:dyDescent="0.2">
      <c r="A47" s="141" t="s">
        <v>65</v>
      </c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</row>
    <row r="48" spans="1:18" ht="15" customHeight="1" x14ac:dyDescent="0.2">
      <c r="A48" s="119" t="s">
        <v>30</v>
      </c>
      <c r="B48" s="119"/>
      <c r="C48" s="119"/>
      <c r="D48" s="119"/>
      <c r="E48" s="206" t="s">
        <v>31</v>
      </c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8"/>
    </row>
    <row r="49" spans="1:18" ht="15" customHeight="1" x14ac:dyDescent="0.2">
      <c r="A49" s="119" t="s">
        <v>32</v>
      </c>
      <c r="B49" s="119"/>
      <c r="C49" s="119"/>
      <c r="D49" s="119"/>
      <c r="E49" s="120" t="s">
        <v>223</v>
      </c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2"/>
    </row>
    <row r="50" spans="1:18" ht="15" customHeight="1" x14ac:dyDescent="0.2">
      <c r="A50" s="119" t="s">
        <v>33</v>
      </c>
      <c r="B50" s="119"/>
      <c r="C50" s="119"/>
      <c r="D50" s="119"/>
      <c r="E50" s="167">
        <v>0.52</v>
      </c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9"/>
    </row>
    <row r="51" spans="1:18" ht="15" customHeight="1" x14ac:dyDescent="0.2">
      <c r="A51" s="119" t="s">
        <v>34</v>
      </c>
      <c r="B51" s="119"/>
      <c r="C51" s="119"/>
      <c r="D51" s="119"/>
      <c r="E51" s="123">
        <v>2.8299999999999999E-2</v>
      </c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5"/>
      <c r="R51" s="55"/>
    </row>
    <row r="52" spans="1:18" s="17" customFormat="1" ht="43.5" customHeight="1" x14ac:dyDescent="0.2">
      <c r="A52" s="14" t="s">
        <v>35</v>
      </c>
      <c r="B52" s="14" t="s">
        <v>36</v>
      </c>
      <c r="C52" s="166" t="s">
        <v>37</v>
      </c>
      <c r="D52" s="166"/>
      <c r="E52" s="14" t="s">
        <v>38</v>
      </c>
      <c r="F52" s="14" t="s">
        <v>39</v>
      </c>
      <c r="G52" s="14" t="s">
        <v>40</v>
      </c>
      <c r="H52" s="14" t="s">
        <v>41</v>
      </c>
      <c r="I52" s="16" t="s">
        <v>42</v>
      </c>
      <c r="J52" s="16" t="s">
        <v>43</v>
      </c>
      <c r="K52" s="14" t="s">
        <v>44</v>
      </c>
      <c r="L52" s="14" t="s">
        <v>45</v>
      </c>
      <c r="M52" s="14" t="s">
        <v>46</v>
      </c>
      <c r="N52" s="14" t="s">
        <v>47</v>
      </c>
      <c r="O52" s="14" t="s">
        <v>48</v>
      </c>
      <c r="P52" s="14" t="s">
        <v>49</v>
      </c>
      <c r="Q52" s="14" t="s">
        <v>50</v>
      </c>
    </row>
    <row r="53" spans="1:18" ht="15" customHeight="1" x14ac:dyDescent="0.2">
      <c r="A53" s="18">
        <v>1</v>
      </c>
      <c r="B53" s="18" t="e">
        <f>_xlfn.XLOOKUP(C53,#REF!,#REF!)</f>
        <v>#REF!</v>
      </c>
      <c r="C53" s="20" t="s">
        <v>59</v>
      </c>
      <c r="D53" s="9"/>
      <c r="E53" s="24" t="e">
        <f>_xlfn.XLOOKUP(B53,#REF!,#REF!)</f>
        <v>#REF!</v>
      </c>
      <c r="F53" s="18" t="e">
        <f>_xlfn.XLOOKUP(B53,#REF!,#REF!)</f>
        <v>#REF!</v>
      </c>
      <c r="G53" s="21">
        <v>0.1209908</v>
      </c>
      <c r="H53" s="23" t="e">
        <f>G53*($C$18-$F$18)*$E$24</f>
        <v>#REF!</v>
      </c>
      <c r="I53" s="22" t="e">
        <f>_xlfn.XLOOKUP(B53,#REF!,#REF!)</f>
        <v>#REF!</v>
      </c>
      <c r="J53" s="22" t="e">
        <f t="shared" ref="J53:J71" si="8">G53*I53</f>
        <v>#REF!</v>
      </c>
      <c r="K53" s="73" t="e">
        <f t="shared" ref="K53:K71" si="9">H53*$J$18/1000000</f>
        <v>#REF!</v>
      </c>
      <c r="L53" s="24"/>
      <c r="M53" s="74">
        <v>1</v>
      </c>
      <c r="N53" s="113" t="s">
        <v>54</v>
      </c>
      <c r="O53" s="113" t="s">
        <v>55</v>
      </c>
      <c r="P53" s="113" t="s">
        <v>56</v>
      </c>
      <c r="Q53" s="116" t="s">
        <v>57</v>
      </c>
    </row>
    <row r="54" spans="1:18" ht="16" x14ac:dyDescent="0.2">
      <c r="A54" s="18">
        <v>2</v>
      </c>
      <c r="B54" s="18" t="e">
        <f>_xlfn.XLOOKUP(C54,#REF!,#REF!)</f>
        <v>#REF!</v>
      </c>
      <c r="C54" s="20" t="s">
        <v>90</v>
      </c>
      <c r="D54" s="9"/>
      <c r="E54" s="24" t="e">
        <f>_xlfn.XLOOKUP(B54,#REF!,#REF!)</f>
        <v>#REF!</v>
      </c>
      <c r="F54" s="18" t="e">
        <f>_xlfn.XLOOKUP(B54,#REF!,#REF!)</f>
        <v>#REF!</v>
      </c>
      <c r="G54" s="25">
        <v>3.6259999999999999E-3</v>
      </c>
      <c r="H54" s="23" t="e">
        <f t="shared" ref="H54:H71" si="10">G54*($C$18-$F$18)*$E$24</f>
        <v>#REF!</v>
      </c>
      <c r="I54" s="22" t="e">
        <f>_xlfn.XLOOKUP(B54,#REF!,#REF!)</f>
        <v>#REF!</v>
      </c>
      <c r="J54" s="22" t="e">
        <f t="shared" si="8"/>
        <v>#REF!</v>
      </c>
      <c r="K54" s="73" t="e">
        <f t="shared" si="9"/>
        <v>#REF!</v>
      </c>
      <c r="L54" s="24"/>
      <c r="M54" s="110">
        <v>2</v>
      </c>
      <c r="N54" s="114"/>
      <c r="O54" s="114"/>
      <c r="P54" s="114"/>
      <c r="Q54" s="117"/>
    </row>
    <row r="55" spans="1:18" ht="15" customHeight="1" x14ac:dyDescent="0.2">
      <c r="A55" s="18">
        <v>3</v>
      </c>
      <c r="B55" s="18" t="e">
        <f>_xlfn.XLOOKUP(C55,#REF!,#REF!)</f>
        <v>#REF!</v>
      </c>
      <c r="C55" s="20" t="s">
        <v>91</v>
      </c>
      <c r="D55" s="9"/>
      <c r="E55" s="24" t="e">
        <f>_xlfn.XLOOKUP(B55,#REF!,#REF!)</f>
        <v>#REF!</v>
      </c>
      <c r="F55" s="18" t="e">
        <f>_xlfn.XLOOKUP(B55,#REF!,#REF!)</f>
        <v>#REF!</v>
      </c>
      <c r="G55" s="25">
        <v>3.6259999999999999E-3</v>
      </c>
      <c r="H55" s="23" t="e">
        <f t="shared" si="10"/>
        <v>#REF!</v>
      </c>
      <c r="I55" s="22" t="e">
        <f>_xlfn.XLOOKUP(B55,#REF!,#REF!)</f>
        <v>#REF!</v>
      </c>
      <c r="J55" s="22" t="e">
        <f t="shared" si="8"/>
        <v>#REF!</v>
      </c>
      <c r="K55" s="73" t="e">
        <f t="shared" si="9"/>
        <v>#REF!</v>
      </c>
      <c r="L55" s="24"/>
      <c r="M55" s="111"/>
      <c r="N55" s="114"/>
      <c r="O55" s="114"/>
      <c r="P55" s="114"/>
      <c r="Q55" s="117"/>
    </row>
    <row r="56" spans="1:18" ht="15" customHeight="1" x14ac:dyDescent="0.2">
      <c r="A56" s="18">
        <v>4</v>
      </c>
      <c r="B56" s="18" t="s">
        <v>212</v>
      </c>
      <c r="C56" s="20" t="s">
        <v>224</v>
      </c>
      <c r="D56" s="9"/>
      <c r="E56" s="24" t="s">
        <v>118</v>
      </c>
      <c r="F56" s="18"/>
      <c r="G56" s="25">
        <v>2.4196200000000001E-2</v>
      </c>
      <c r="H56" s="23" t="e">
        <f t="shared" si="10"/>
        <v>#REF!</v>
      </c>
      <c r="I56" s="22">
        <v>2</v>
      </c>
      <c r="J56" s="22">
        <f t="shared" si="8"/>
        <v>4.8392400000000002E-2</v>
      </c>
      <c r="K56" s="73" t="e">
        <f t="shared" si="9"/>
        <v>#REF!</v>
      </c>
      <c r="L56" s="24"/>
      <c r="M56" s="111"/>
      <c r="N56" s="114"/>
      <c r="O56" s="114"/>
      <c r="P56" s="114"/>
      <c r="Q56" s="117"/>
    </row>
    <row r="57" spans="1:18" ht="15" customHeight="1" x14ac:dyDescent="0.2">
      <c r="A57" s="18">
        <v>5</v>
      </c>
      <c r="B57" s="18" t="s">
        <v>51</v>
      </c>
      <c r="C57" s="20" t="s">
        <v>52</v>
      </c>
      <c r="D57" s="9"/>
      <c r="E57" s="24" t="s">
        <v>53</v>
      </c>
      <c r="F57" s="18"/>
      <c r="G57" s="25">
        <v>0.38593379999999999</v>
      </c>
      <c r="H57" s="23" t="e">
        <f t="shared" si="10"/>
        <v>#REF!</v>
      </c>
      <c r="I57" s="22"/>
      <c r="J57" s="22">
        <f t="shared" si="8"/>
        <v>0</v>
      </c>
      <c r="K57" s="73" t="e">
        <f t="shared" si="9"/>
        <v>#REF!</v>
      </c>
      <c r="L57" s="24"/>
      <c r="M57" s="111"/>
      <c r="N57" s="114"/>
      <c r="O57" s="114"/>
      <c r="P57" s="114"/>
      <c r="Q57" s="117"/>
    </row>
    <row r="58" spans="1:18" ht="15" customHeight="1" x14ac:dyDescent="0.2">
      <c r="A58" s="18">
        <v>6</v>
      </c>
      <c r="B58" s="18" t="e">
        <f>_xlfn.XLOOKUP(C58,#REF!,#REF!)</f>
        <v>#REF!</v>
      </c>
      <c r="C58" s="20" t="s">
        <v>170</v>
      </c>
      <c r="D58" s="9"/>
      <c r="E58" s="24" t="e">
        <f>_xlfn.XLOOKUP(B58,#REF!,#REF!)</f>
        <v>#REF!</v>
      </c>
      <c r="F58" s="18" t="e">
        <f>_xlfn.XLOOKUP(B58,#REF!,#REF!)</f>
        <v>#REF!</v>
      </c>
      <c r="G58" s="25">
        <v>1.2102999999999999E-2</v>
      </c>
      <c r="H58" s="23" t="e">
        <f t="shared" si="10"/>
        <v>#REF!</v>
      </c>
      <c r="I58" s="22" t="e">
        <f>_xlfn.XLOOKUP(B58,#REF!,#REF!)</f>
        <v>#REF!</v>
      </c>
      <c r="J58" s="22" t="e">
        <f t="shared" si="8"/>
        <v>#REF!</v>
      </c>
      <c r="K58" s="73" t="e">
        <f t="shared" si="9"/>
        <v>#REF!</v>
      </c>
      <c r="L58" s="24"/>
      <c r="M58" s="111"/>
      <c r="N58" s="114"/>
      <c r="O58" s="114"/>
      <c r="P58" s="114"/>
      <c r="Q58" s="117"/>
    </row>
    <row r="59" spans="1:18" ht="15" customHeight="1" x14ac:dyDescent="0.2">
      <c r="A59" s="18">
        <v>7</v>
      </c>
      <c r="B59" s="18" t="e">
        <f>_xlfn.XLOOKUP(C59,#REF!,#REF!)</f>
        <v>#REF!</v>
      </c>
      <c r="C59" s="20" t="s">
        <v>94</v>
      </c>
      <c r="D59" s="9"/>
      <c r="E59" s="24" t="e">
        <f>_xlfn.XLOOKUP(B59,#REF!,#REF!)</f>
        <v>#REF!</v>
      </c>
      <c r="F59" s="18" t="e">
        <f>_xlfn.XLOOKUP(B59,#REF!,#REF!)</f>
        <v>#REF!</v>
      </c>
      <c r="G59" s="25">
        <v>9.682399999999999E-3</v>
      </c>
      <c r="H59" s="23" t="e">
        <f t="shared" si="10"/>
        <v>#REF!</v>
      </c>
      <c r="I59" s="22" t="e">
        <f>_xlfn.XLOOKUP(B59,#REF!,#REF!)</f>
        <v>#REF!</v>
      </c>
      <c r="J59" s="22" t="e">
        <f t="shared" si="8"/>
        <v>#REF!</v>
      </c>
      <c r="K59" s="73" t="e">
        <f t="shared" si="9"/>
        <v>#REF!</v>
      </c>
      <c r="L59" s="24"/>
      <c r="M59" s="111"/>
      <c r="N59" s="114"/>
      <c r="O59" s="114"/>
      <c r="P59" s="114"/>
      <c r="Q59" s="117"/>
    </row>
    <row r="60" spans="1:18" ht="15" customHeight="1" x14ac:dyDescent="0.2">
      <c r="A60" s="18">
        <v>8</v>
      </c>
      <c r="B60" s="18" t="e">
        <f>_xlfn.XLOOKUP(C60,#REF!,#REF!)</f>
        <v>#REF!</v>
      </c>
      <c r="C60" s="20" t="s">
        <v>143</v>
      </c>
      <c r="D60" s="9"/>
      <c r="E60" s="24" t="e">
        <f>_xlfn.XLOOKUP(B60,#REF!,#REF!)</f>
        <v>#REF!</v>
      </c>
      <c r="F60" s="18" t="e">
        <f>_xlfn.XLOOKUP(B60,#REF!,#REF!)</f>
        <v>#REF!</v>
      </c>
      <c r="G60" s="25">
        <v>1.08878E-2</v>
      </c>
      <c r="H60" s="23" t="e">
        <f t="shared" si="10"/>
        <v>#REF!</v>
      </c>
      <c r="I60" s="22" t="e">
        <f>_xlfn.XLOOKUP(B60,#REF!,#REF!)</f>
        <v>#REF!</v>
      </c>
      <c r="J60" s="22" t="e">
        <f t="shared" si="8"/>
        <v>#REF!</v>
      </c>
      <c r="K60" s="73" t="e">
        <f t="shared" si="9"/>
        <v>#REF!</v>
      </c>
      <c r="L60" s="24"/>
      <c r="M60" s="111"/>
      <c r="N60" s="114"/>
      <c r="O60" s="114"/>
      <c r="P60" s="114"/>
      <c r="Q60" s="117"/>
    </row>
    <row r="61" spans="1:18" ht="15" customHeight="1" x14ac:dyDescent="0.2">
      <c r="A61" s="18">
        <v>9</v>
      </c>
      <c r="B61" s="18" t="e">
        <f>_xlfn.XLOOKUP(C61,#REF!,#REF!)</f>
        <v>#REF!</v>
      </c>
      <c r="C61" s="20" t="s">
        <v>97</v>
      </c>
      <c r="D61" s="9"/>
      <c r="E61" s="24" t="e">
        <f>_xlfn.XLOOKUP(B61,#REF!,#REF!)</f>
        <v>#REF!</v>
      </c>
      <c r="F61" s="18" t="e">
        <f>_xlfn.XLOOKUP(B61,#REF!,#REF!)</f>
        <v>#REF!</v>
      </c>
      <c r="G61" s="25">
        <v>2.4499999999999999E-4</v>
      </c>
      <c r="H61" s="23" t="e">
        <f t="shared" si="10"/>
        <v>#REF!</v>
      </c>
      <c r="I61" s="22" t="e">
        <f>_xlfn.XLOOKUP(B61,#REF!,#REF!)</f>
        <v>#REF!</v>
      </c>
      <c r="J61" s="22" t="e">
        <f t="shared" si="8"/>
        <v>#REF!</v>
      </c>
      <c r="K61" s="73" t="e">
        <f t="shared" si="9"/>
        <v>#REF!</v>
      </c>
      <c r="L61" s="24"/>
      <c r="M61" s="111"/>
      <c r="N61" s="114"/>
      <c r="O61" s="114"/>
      <c r="P61" s="114"/>
      <c r="Q61" s="117"/>
    </row>
    <row r="62" spans="1:18" ht="15" customHeight="1" x14ac:dyDescent="0.2">
      <c r="A62" s="18">
        <v>10</v>
      </c>
      <c r="B62" s="18" t="e">
        <f>_xlfn.XLOOKUP(C62,#REF!,#REF!)</f>
        <v>#REF!</v>
      </c>
      <c r="C62" s="20" t="s">
        <v>96</v>
      </c>
      <c r="D62" s="9"/>
      <c r="E62" s="24" t="e">
        <f>_xlfn.XLOOKUP(B62,#REF!,#REF!)</f>
        <v>#REF!</v>
      </c>
      <c r="F62" s="18" t="e">
        <f>_xlfn.XLOOKUP(B62,#REF!,#REF!)</f>
        <v>#REF!</v>
      </c>
      <c r="G62" s="25">
        <v>9.682399999999999E-3</v>
      </c>
      <c r="H62" s="23" t="e">
        <f t="shared" si="10"/>
        <v>#REF!</v>
      </c>
      <c r="I62" s="22" t="e">
        <f>_xlfn.XLOOKUP(B62,#REF!,#REF!)</f>
        <v>#REF!</v>
      </c>
      <c r="J62" s="22" t="e">
        <f t="shared" si="8"/>
        <v>#REF!</v>
      </c>
      <c r="K62" s="73" t="e">
        <f t="shared" si="9"/>
        <v>#REF!</v>
      </c>
      <c r="L62" s="24"/>
      <c r="M62" s="111"/>
      <c r="N62" s="114"/>
      <c r="O62" s="114"/>
      <c r="P62" s="114"/>
      <c r="Q62" s="117"/>
    </row>
    <row r="63" spans="1:18" ht="15" customHeight="1" x14ac:dyDescent="0.2">
      <c r="A63" s="18">
        <v>11</v>
      </c>
      <c r="B63" s="18" t="e">
        <f>_xlfn.XLOOKUP(C63,#REF!,#REF!)</f>
        <v>#REF!</v>
      </c>
      <c r="C63" s="20" t="s">
        <v>146</v>
      </c>
      <c r="D63" s="9"/>
      <c r="E63" s="24" t="e">
        <f>_xlfn.XLOOKUP(B63,#REF!,#REF!)</f>
        <v>#REF!</v>
      </c>
      <c r="F63" s="18" t="e">
        <f>_xlfn.XLOOKUP(B63,#REF!,#REF!)</f>
        <v>#REF!</v>
      </c>
      <c r="G63" s="25">
        <v>2.4205999999999997E-3</v>
      </c>
      <c r="H63" s="23" t="e">
        <f t="shared" si="10"/>
        <v>#REF!</v>
      </c>
      <c r="I63" s="22" t="e">
        <f>_xlfn.XLOOKUP(B63,#REF!,#REF!)</f>
        <v>#REF!</v>
      </c>
      <c r="J63" s="22" t="e">
        <f t="shared" si="8"/>
        <v>#REF!</v>
      </c>
      <c r="K63" s="73" t="e">
        <f t="shared" si="9"/>
        <v>#REF!</v>
      </c>
      <c r="L63" s="24"/>
      <c r="M63" s="111"/>
      <c r="N63" s="114"/>
      <c r="O63" s="114"/>
      <c r="P63" s="114"/>
      <c r="Q63" s="117"/>
    </row>
    <row r="64" spans="1:18" ht="15" customHeight="1" x14ac:dyDescent="0.2">
      <c r="A64" s="18">
        <v>12</v>
      </c>
      <c r="B64" s="18" t="e">
        <f>_xlfn.XLOOKUP(C64,#REF!,#REF!)</f>
        <v>#REF!</v>
      </c>
      <c r="C64" s="20" t="s">
        <v>93</v>
      </c>
      <c r="D64" s="9"/>
      <c r="E64" s="24" t="s">
        <v>53</v>
      </c>
      <c r="F64" s="18" t="e">
        <f>_xlfn.XLOOKUP(B64,#REF!,#REF!)</f>
        <v>#REF!</v>
      </c>
      <c r="G64" s="25">
        <v>9.800000000000001E-6</v>
      </c>
      <c r="H64" s="23" t="e">
        <f t="shared" si="10"/>
        <v>#REF!</v>
      </c>
      <c r="I64" s="22" t="e">
        <f>_xlfn.XLOOKUP(B64,#REF!,#REF!)</f>
        <v>#REF!</v>
      </c>
      <c r="J64" s="22" t="e">
        <f t="shared" si="8"/>
        <v>#REF!</v>
      </c>
      <c r="K64" s="73" t="e">
        <f t="shared" si="9"/>
        <v>#REF!</v>
      </c>
      <c r="L64" s="24"/>
      <c r="M64" s="111"/>
      <c r="N64" s="114"/>
      <c r="O64" s="114"/>
      <c r="P64" s="114"/>
      <c r="Q64" s="117"/>
    </row>
    <row r="65" spans="1:17" ht="15" customHeight="1" x14ac:dyDescent="0.2">
      <c r="A65" s="18">
        <v>13</v>
      </c>
      <c r="B65" s="18" t="e">
        <f>_xlfn.XLOOKUP(C65,#REF!,#REF!)</f>
        <v>#REF!</v>
      </c>
      <c r="C65" s="20" t="s">
        <v>193</v>
      </c>
      <c r="D65" s="9"/>
      <c r="E65" s="24" t="e">
        <f>_xlfn.XLOOKUP(B65,#REF!,#REF!)</f>
        <v>#REF!</v>
      </c>
      <c r="F65" s="18" t="e">
        <f>_xlfn.XLOOKUP(B65,#REF!,#REF!)</f>
        <v>#REF!</v>
      </c>
      <c r="G65" s="25">
        <v>2.4205999999999997E-3</v>
      </c>
      <c r="H65" s="23" t="e">
        <f t="shared" si="10"/>
        <v>#REF!</v>
      </c>
      <c r="I65" s="22" t="e">
        <f>_xlfn.XLOOKUP(B65,#REF!,#REF!)</f>
        <v>#REF!</v>
      </c>
      <c r="J65" s="22" t="e">
        <f t="shared" si="8"/>
        <v>#REF!</v>
      </c>
      <c r="K65" s="73" t="e">
        <f t="shared" si="9"/>
        <v>#REF!</v>
      </c>
      <c r="L65" s="24"/>
      <c r="M65" s="111"/>
      <c r="N65" s="114"/>
      <c r="O65" s="114"/>
      <c r="P65" s="114"/>
      <c r="Q65" s="117"/>
    </row>
    <row r="66" spans="1:17" ht="15" customHeight="1" x14ac:dyDescent="0.2">
      <c r="A66" s="18">
        <v>14</v>
      </c>
      <c r="B66" s="18" t="e">
        <f>_xlfn.XLOOKUP(C66,#REF!,#REF!)</f>
        <v>#REF!</v>
      </c>
      <c r="C66" s="20" t="s">
        <v>196</v>
      </c>
      <c r="D66" s="9"/>
      <c r="E66" s="24" t="e">
        <f>_xlfn.XLOOKUP(B66,#REF!,#REF!)</f>
        <v>#REF!</v>
      </c>
      <c r="F66" s="18" t="e">
        <f>_xlfn.XLOOKUP(B66,#REF!,#REF!)</f>
        <v>#REF!</v>
      </c>
      <c r="G66" s="25">
        <v>9.7019999999999995E-4</v>
      </c>
      <c r="H66" s="23" t="e">
        <f t="shared" si="10"/>
        <v>#REF!</v>
      </c>
      <c r="I66" s="22" t="e">
        <f>_xlfn.XLOOKUP(B66,#REF!,#REF!)</f>
        <v>#REF!</v>
      </c>
      <c r="J66" s="22" t="e">
        <f t="shared" si="8"/>
        <v>#REF!</v>
      </c>
      <c r="K66" s="73" t="e">
        <f t="shared" si="9"/>
        <v>#REF!</v>
      </c>
      <c r="L66" s="24"/>
      <c r="M66" s="111"/>
      <c r="N66" s="114"/>
      <c r="O66" s="114"/>
      <c r="P66" s="114"/>
      <c r="Q66" s="117"/>
    </row>
    <row r="67" spans="1:17" ht="15" customHeight="1" x14ac:dyDescent="0.2">
      <c r="A67" s="18">
        <v>15</v>
      </c>
      <c r="B67" s="18" t="e">
        <f>_xlfn.XLOOKUP(C67,#REF!,#REF!)</f>
        <v>#REF!</v>
      </c>
      <c r="C67" s="20" t="s">
        <v>208</v>
      </c>
      <c r="D67" s="9"/>
      <c r="E67" s="24" t="e">
        <f>_xlfn.XLOOKUP(B67,#REF!,#REF!)</f>
        <v>#REF!</v>
      </c>
      <c r="F67" s="18" t="e">
        <f>_xlfn.XLOOKUP(B67,#REF!,#REF!)</f>
        <v>#REF!</v>
      </c>
      <c r="G67" s="25">
        <v>2.4196200000000001E-2</v>
      </c>
      <c r="H67" s="23" t="e">
        <f t="shared" si="10"/>
        <v>#REF!</v>
      </c>
      <c r="I67" s="22" t="e">
        <f>_xlfn.XLOOKUP(B67,#REF!,#REF!)</f>
        <v>#REF!</v>
      </c>
      <c r="J67" s="22" t="e">
        <f t="shared" si="8"/>
        <v>#REF!</v>
      </c>
      <c r="K67" s="73" t="e">
        <f t="shared" si="9"/>
        <v>#REF!</v>
      </c>
      <c r="L67" s="24"/>
      <c r="M67" s="111"/>
      <c r="N67" s="114"/>
      <c r="O67" s="114"/>
      <c r="P67" s="114"/>
      <c r="Q67" s="117"/>
    </row>
    <row r="68" spans="1:17" ht="15" customHeight="1" x14ac:dyDescent="0.2">
      <c r="A68" s="18">
        <v>16</v>
      </c>
      <c r="B68" s="18" t="e">
        <f>_xlfn.XLOOKUP(C68,#REF!,#REF!)</f>
        <v>#REF!</v>
      </c>
      <c r="C68" s="20" t="s">
        <v>92</v>
      </c>
      <c r="D68" s="9"/>
      <c r="E68" s="24" t="e">
        <f>_xlfn.XLOOKUP(B68,#REF!,#REF!)</f>
        <v>#REF!</v>
      </c>
      <c r="F68" s="18" t="e">
        <f>_xlfn.XLOOKUP(B68,#REF!,#REF!)</f>
        <v>#REF!</v>
      </c>
      <c r="G68" s="25">
        <v>6.0466000000000001E-3</v>
      </c>
      <c r="H68" s="23" t="e">
        <f t="shared" si="10"/>
        <v>#REF!</v>
      </c>
      <c r="I68" s="22" t="e">
        <f>_xlfn.XLOOKUP(B68,#REF!,#REF!)</f>
        <v>#REF!</v>
      </c>
      <c r="J68" s="22" t="e">
        <f t="shared" si="8"/>
        <v>#REF!</v>
      </c>
      <c r="K68" s="73" t="e">
        <f t="shared" si="9"/>
        <v>#REF!</v>
      </c>
      <c r="L68" s="24"/>
      <c r="M68" s="111"/>
      <c r="N68" s="114"/>
      <c r="O68" s="114"/>
      <c r="P68" s="114"/>
      <c r="Q68" s="117"/>
    </row>
    <row r="69" spans="1:17" ht="15" customHeight="1" x14ac:dyDescent="0.2">
      <c r="A69" s="18">
        <v>17</v>
      </c>
      <c r="B69" s="18" t="e">
        <f>_xlfn.XLOOKUP(C69,#REF!,#REF!)</f>
        <v>#REF!</v>
      </c>
      <c r="C69" s="20" t="s">
        <v>60</v>
      </c>
      <c r="D69" s="9"/>
      <c r="E69" s="24" t="e">
        <f>_xlfn.XLOOKUP(B69,#REF!,#REF!)</f>
        <v>#REF!</v>
      </c>
      <c r="F69" s="18" t="e">
        <f>_xlfn.XLOOKUP(B69,#REF!,#REF!)</f>
        <v>#REF!</v>
      </c>
      <c r="G69" s="25">
        <v>0.24197179999999999</v>
      </c>
      <c r="H69" s="23" t="e">
        <f t="shared" si="10"/>
        <v>#REF!</v>
      </c>
      <c r="I69" s="22" t="e">
        <f>_xlfn.XLOOKUP(B69,#REF!,#REF!)</f>
        <v>#REF!</v>
      </c>
      <c r="J69" s="22" t="e">
        <f t="shared" si="8"/>
        <v>#REF!</v>
      </c>
      <c r="K69" s="73" t="e">
        <f t="shared" si="9"/>
        <v>#REF!</v>
      </c>
      <c r="L69" s="24"/>
      <c r="M69" s="111"/>
      <c r="N69" s="114"/>
      <c r="O69" s="114"/>
      <c r="P69" s="114"/>
      <c r="Q69" s="117"/>
    </row>
    <row r="70" spans="1:17" ht="15" customHeight="1" x14ac:dyDescent="0.2">
      <c r="A70" s="18">
        <v>18</v>
      </c>
      <c r="B70" s="18" t="e">
        <f>_xlfn.XLOOKUP(C70,#REF!,#REF!)</f>
        <v>#REF!</v>
      </c>
      <c r="C70" s="98" t="s">
        <v>58</v>
      </c>
      <c r="D70" s="99"/>
      <c r="E70" s="24" t="s">
        <v>53</v>
      </c>
      <c r="F70" s="18" t="e">
        <f>_xlfn.XLOOKUP(B70,#REF!,#REF!)</f>
        <v>#REF!</v>
      </c>
      <c r="G70" s="25">
        <v>0.1209908</v>
      </c>
      <c r="H70" s="23" t="e">
        <f t="shared" si="10"/>
        <v>#REF!</v>
      </c>
      <c r="I70" s="22" t="e">
        <f>_xlfn.XLOOKUP(B70,#REF!,#REF!)</f>
        <v>#REF!</v>
      </c>
      <c r="J70" s="22" t="e">
        <f t="shared" si="8"/>
        <v>#REF!</v>
      </c>
      <c r="K70" s="73" t="e">
        <f t="shared" si="9"/>
        <v>#REF!</v>
      </c>
      <c r="L70" s="24"/>
      <c r="M70" s="112"/>
      <c r="N70" s="115"/>
      <c r="O70" s="115"/>
      <c r="P70" s="115"/>
      <c r="Q70" s="118"/>
    </row>
    <row r="71" spans="1:17" ht="15" customHeight="1" x14ac:dyDescent="0.2">
      <c r="A71" s="18">
        <v>19</v>
      </c>
      <c r="B71" s="18" t="s">
        <v>213</v>
      </c>
      <c r="C71" s="86" t="s">
        <v>211</v>
      </c>
      <c r="D71" s="72"/>
      <c r="E71" s="24" t="s">
        <v>118</v>
      </c>
      <c r="F71" s="18"/>
      <c r="G71" s="100">
        <v>0.02</v>
      </c>
      <c r="H71" s="23" t="e">
        <f t="shared" si="10"/>
        <v>#REF!</v>
      </c>
      <c r="I71" s="22">
        <v>0.5</v>
      </c>
      <c r="J71" s="22">
        <f t="shared" si="8"/>
        <v>0.01</v>
      </c>
      <c r="K71" s="73" t="e">
        <f t="shared" si="9"/>
        <v>#REF!</v>
      </c>
      <c r="L71" s="24"/>
      <c r="M71" s="95">
        <v>3</v>
      </c>
      <c r="N71" s="89" t="s">
        <v>54</v>
      </c>
      <c r="O71" s="93" t="s">
        <v>55</v>
      </c>
      <c r="P71" s="94" t="s">
        <v>62</v>
      </c>
      <c r="Q71" s="91" t="s">
        <v>63</v>
      </c>
    </row>
    <row r="72" spans="1:17" ht="14.5" customHeight="1" x14ac:dyDescent="0.2">
      <c r="A72" s="209" t="s">
        <v>64</v>
      </c>
      <c r="B72" s="210"/>
      <c r="C72" s="210"/>
      <c r="D72" s="210"/>
      <c r="E72" s="210"/>
      <c r="F72" s="211"/>
      <c r="G72" s="56">
        <f>SUM(G53:G71)</f>
        <v>0.99999999999999989</v>
      </c>
      <c r="H72" s="66" t="e">
        <f>SUM(H53:H71)</f>
        <v>#REF!</v>
      </c>
      <c r="I72" s="26"/>
      <c r="J72" s="26" t="e">
        <f>SUM(J53:J71)</f>
        <v>#REF!</v>
      </c>
      <c r="K72" s="27"/>
      <c r="L72" s="27"/>
      <c r="M72" s="67"/>
      <c r="N72" s="67"/>
      <c r="O72" s="67"/>
      <c r="P72" s="67"/>
      <c r="Q72" s="67"/>
    </row>
    <row r="73" spans="1:17" ht="15" customHeight="1" x14ac:dyDescent="0.2"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</row>
    <row r="74" spans="1:17" ht="15" customHeight="1" x14ac:dyDescent="0.2">
      <c r="A74" s="128" t="s">
        <v>66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</row>
    <row r="75" spans="1:17" ht="15" customHeight="1" x14ac:dyDescent="0.2">
      <c r="A75" s="119" t="s">
        <v>67</v>
      </c>
      <c r="B75" s="119"/>
      <c r="C75" s="119"/>
      <c r="D75" s="119"/>
      <c r="E75" s="138" t="s">
        <v>225</v>
      </c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</row>
    <row r="76" spans="1:17" ht="15" customHeight="1" x14ac:dyDescent="0.2">
      <c r="A76" s="119" t="s">
        <v>68</v>
      </c>
      <c r="B76" s="119"/>
      <c r="C76" s="119"/>
      <c r="D76" s="119"/>
      <c r="E76" s="138" t="s">
        <v>226</v>
      </c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</row>
    <row r="77" spans="1:17" ht="14.75" customHeight="1" x14ac:dyDescent="0.2">
      <c r="A77" s="119" t="s">
        <v>33</v>
      </c>
      <c r="B77" s="119"/>
      <c r="C77" s="119"/>
      <c r="D77" s="119"/>
      <c r="E77" s="139">
        <v>1</v>
      </c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</row>
    <row r="78" spans="1:17" x14ac:dyDescent="0.2">
      <c r="A78" s="119" t="s">
        <v>69</v>
      </c>
      <c r="B78" s="119"/>
      <c r="C78" s="119"/>
      <c r="D78" s="119"/>
      <c r="E78" s="140" t="e">
        <f>H84/(C18-F18)</f>
        <v>#REF!</v>
      </c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</row>
    <row r="79" spans="1:17" s="17" customFormat="1" ht="48" x14ac:dyDescent="0.2">
      <c r="A79" s="14" t="s">
        <v>35</v>
      </c>
      <c r="B79" s="14" t="s">
        <v>36</v>
      </c>
      <c r="C79" s="166" t="s">
        <v>37</v>
      </c>
      <c r="D79" s="166"/>
      <c r="E79" s="14" t="s">
        <v>70</v>
      </c>
      <c r="F79" s="14" t="s">
        <v>39</v>
      </c>
      <c r="G79" s="14" t="s">
        <v>40</v>
      </c>
      <c r="H79" s="14" t="s">
        <v>41</v>
      </c>
      <c r="I79" s="16" t="s">
        <v>71</v>
      </c>
      <c r="J79" s="16" t="s">
        <v>43</v>
      </c>
      <c r="K79" s="14" t="s">
        <v>44</v>
      </c>
      <c r="L79" s="14" t="s">
        <v>45</v>
      </c>
      <c r="M79" s="14" t="s">
        <v>46</v>
      </c>
      <c r="N79" s="14" t="s">
        <v>47</v>
      </c>
      <c r="O79" s="14" t="s">
        <v>48</v>
      </c>
      <c r="P79" s="14" t="s">
        <v>49</v>
      </c>
      <c r="Q79" s="14" t="s">
        <v>50</v>
      </c>
    </row>
    <row r="80" spans="1:17" ht="14.5" customHeight="1" x14ac:dyDescent="0.2">
      <c r="A80" s="18">
        <v>1</v>
      </c>
      <c r="B80" s="101" t="str">
        <f>E113</f>
        <v>GEN-FBL-00000</v>
      </c>
      <c r="C80" s="102" t="str">
        <f>E114</f>
        <v>FBL_BFLG-09_R00</v>
      </c>
      <c r="D80" s="103"/>
      <c r="E80" s="24" t="s">
        <v>53</v>
      </c>
      <c r="F80" s="96" t="s">
        <v>194</v>
      </c>
      <c r="G80" s="83" t="e">
        <f>(H80/($C$18-$F$18))/$E$78</f>
        <v>#REF!</v>
      </c>
      <c r="H80" s="82" t="e">
        <f>#REF!</f>
        <v>#REF!</v>
      </c>
      <c r="I80" s="22" t="e">
        <f>J159</f>
        <v>#REF!</v>
      </c>
      <c r="J80" s="84" t="e">
        <f>I80*G80</f>
        <v>#REF!</v>
      </c>
      <c r="K80" s="73" t="e">
        <f t="shared" ref="K80" si="11">H80*$J$18/1000000</f>
        <v>#REF!</v>
      </c>
      <c r="L80" s="18"/>
      <c r="M80" s="151">
        <v>1</v>
      </c>
      <c r="N80" s="151" t="s">
        <v>54</v>
      </c>
      <c r="O80" s="151" t="s">
        <v>55</v>
      </c>
      <c r="P80" s="151" t="s">
        <v>72</v>
      </c>
      <c r="Q80" s="151" t="s">
        <v>73</v>
      </c>
    </row>
    <row r="81" spans="1:17" ht="14.5" customHeight="1" x14ac:dyDescent="0.2">
      <c r="A81" s="18">
        <v>2</v>
      </c>
      <c r="B81" s="101" t="str">
        <f>E163</f>
        <v>GEN-FBL-00140</v>
      </c>
      <c r="C81" s="102" t="str">
        <f>E164</f>
        <v>FBL_FF-03_R01</v>
      </c>
      <c r="D81" s="103"/>
      <c r="E81" s="24" t="s">
        <v>53</v>
      </c>
      <c r="F81" s="96" t="s">
        <v>216</v>
      </c>
      <c r="G81" s="83" t="e">
        <f t="shared" ref="G81:G83" si="12">(H81/($C$18-$F$18))/$E$78</f>
        <v>#REF!</v>
      </c>
      <c r="H81" s="82" t="e">
        <f>#REF!</f>
        <v>#REF!</v>
      </c>
      <c r="I81" s="22" t="e">
        <f>J178</f>
        <v>#REF!</v>
      </c>
      <c r="J81" s="84" t="e">
        <f>I81*G81</f>
        <v>#REF!</v>
      </c>
      <c r="K81" s="73" t="e">
        <f t="shared" ref="K81:K83" si="13">H81*$J$18/1000000</f>
        <v>#REF!</v>
      </c>
      <c r="L81" s="18"/>
      <c r="M81" s="152"/>
      <c r="N81" s="152"/>
      <c r="O81" s="152"/>
      <c r="P81" s="152"/>
      <c r="Q81" s="152"/>
    </row>
    <row r="82" spans="1:17" ht="14.5" customHeight="1" x14ac:dyDescent="0.2">
      <c r="A82" s="18">
        <v>3</v>
      </c>
      <c r="B82" s="101" t="str">
        <f>E182</f>
        <v>GEN-FBL-00142</v>
      </c>
      <c r="C82" s="102" t="str">
        <f>E183</f>
        <v>FBL_FKV-05_R02</v>
      </c>
      <c r="D82" s="103"/>
      <c r="E82" s="24" t="s">
        <v>53</v>
      </c>
      <c r="F82" s="96" t="s">
        <v>162</v>
      </c>
      <c r="G82" s="83" t="e">
        <f t="shared" si="12"/>
        <v>#REF!</v>
      </c>
      <c r="H82" s="82" t="e">
        <f>#REF!</f>
        <v>#REF!</v>
      </c>
      <c r="I82" s="22" t="e">
        <f>J205</f>
        <v>#REF!</v>
      </c>
      <c r="J82" s="84" t="e">
        <f t="shared" ref="J82:J83" si="14">I82*G82</f>
        <v>#REF!</v>
      </c>
      <c r="K82" s="73" t="e">
        <f t="shared" si="13"/>
        <v>#REF!</v>
      </c>
      <c r="L82" s="18"/>
      <c r="M82" s="152"/>
      <c r="N82" s="152"/>
      <c r="O82" s="152"/>
      <c r="P82" s="152"/>
      <c r="Q82" s="152"/>
    </row>
    <row r="83" spans="1:17" ht="14.5" customHeight="1" x14ac:dyDescent="0.2">
      <c r="A83" s="18">
        <v>4</v>
      </c>
      <c r="B83" s="101" t="str">
        <f>E209</f>
        <v>GEN-FBL-00149</v>
      </c>
      <c r="C83" s="102" t="str">
        <f>E210</f>
        <v>FBL_KOR-03_R03</v>
      </c>
      <c r="D83" s="103"/>
      <c r="E83" s="24" t="s">
        <v>53</v>
      </c>
      <c r="F83" s="96"/>
      <c r="G83" s="83" t="e">
        <f t="shared" si="12"/>
        <v>#REF!</v>
      </c>
      <c r="H83" s="82" t="e">
        <f>#REF!</f>
        <v>#REF!</v>
      </c>
      <c r="I83" s="22" t="e">
        <f>J260</f>
        <v>#REF!</v>
      </c>
      <c r="J83" s="84" t="e">
        <f t="shared" si="14"/>
        <v>#REF!</v>
      </c>
      <c r="K83" s="73" t="e">
        <f t="shared" si="13"/>
        <v>#REF!</v>
      </c>
      <c r="L83" s="18"/>
      <c r="M83" s="152"/>
      <c r="N83" s="152"/>
      <c r="O83" s="152"/>
      <c r="P83" s="152"/>
      <c r="Q83" s="152"/>
    </row>
    <row r="84" spans="1:17" ht="14.5" customHeight="1" x14ac:dyDescent="0.2">
      <c r="A84" s="209" t="s">
        <v>64</v>
      </c>
      <c r="B84" s="210"/>
      <c r="C84" s="210"/>
      <c r="D84" s="210"/>
      <c r="E84" s="210"/>
      <c r="F84" s="211"/>
      <c r="G84" s="57" t="e">
        <f>SUM(G80:G83)</f>
        <v>#REF!</v>
      </c>
      <c r="H84" s="66" t="e">
        <f>SUM(H80:H83)</f>
        <v>#REF!</v>
      </c>
      <c r="I84" s="28"/>
      <c r="J84" s="28" t="e">
        <f>SUM(J80:J83)</f>
        <v>#REF!</v>
      </c>
      <c r="K84" s="27"/>
      <c r="L84" s="27"/>
      <c r="M84" s="67"/>
      <c r="N84" s="67"/>
      <c r="O84" s="67"/>
      <c r="P84" s="67"/>
      <c r="Q84" s="67"/>
    </row>
    <row r="85" spans="1:17" customFormat="1" ht="32.75" customHeight="1" x14ac:dyDescent="0.2">
      <c r="A85" s="53"/>
    </row>
    <row r="86" spans="1:17" ht="48" x14ac:dyDescent="0.2">
      <c r="A86" s="14" t="s">
        <v>35</v>
      </c>
      <c r="B86" s="14" t="s">
        <v>74</v>
      </c>
      <c r="C86" s="15" t="s">
        <v>75</v>
      </c>
      <c r="D86" s="14" t="s">
        <v>33</v>
      </c>
      <c r="E86" s="29"/>
      <c r="F86" s="29"/>
      <c r="G86" s="16" t="s">
        <v>76</v>
      </c>
      <c r="H86" s="16" t="s">
        <v>77</v>
      </c>
      <c r="I86" s="29"/>
      <c r="J86" s="29"/>
      <c r="K86" s="29"/>
      <c r="L86" s="29"/>
      <c r="M86" s="29"/>
      <c r="N86" s="29"/>
      <c r="O86" s="29"/>
      <c r="P86" s="29"/>
      <c r="Q86" s="3"/>
    </row>
    <row r="87" spans="1:17" ht="33" customHeight="1" x14ac:dyDescent="0.2">
      <c r="A87" s="18">
        <v>1</v>
      </c>
      <c r="B87" s="19" t="str">
        <f>E22</f>
        <v>CS_K-CK-LCDT-04_R00</v>
      </c>
      <c r="C87" s="61" t="e">
        <f>H45</f>
        <v>#REF!</v>
      </c>
      <c r="D87" s="30">
        <f>E23</f>
        <v>0.38</v>
      </c>
      <c r="E87" s="29"/>
      <c r="F87" s="29"/>
      <c r="G87" s="22" t="e">
        <f>J45</f>
        <v>#REF!</v>
      </c>
      <c r="H87" s="22" t="e">
        <f>G87*(C87/1000000)*1000</f>
        <v>#REF!</v>
      </c>
      <c r="I87" s="29"/>
      <c r="J87" s="29"/>
      <c r="K87" s="3"/>
      <c r="L87" s="29"/>
      <c r="M87" s="29"/>
      <c r="N87" s="29"/>
      <c r="O87" s="29"/>
      <c r="P87" s="29"/>
      <c r="Q87" s="3"/>
    </row>
    <row r="88" spans="1:17" ht="36.75" customHeight="1" x14ac:dyDescent="0.2">
      <c r="A88" s="18">
        <v>2</v>
      </c>
      <c r="B88" s="19" t="str">
        <f>E49</f>
        <v>CS_R-CK-LCDT-04_R00</v>
      </c>
      <c r="C88" s="61" t="e">
        <f>H72</f>
        <v>#REF!</v>
      </c>
      <c r="D88" s="30">
        <f>E50</f>
        <v>0.52</v>
      </c>
      <c r="E88" s="29"/>
      <c r="F88" s="29"/>
      <c r="G88" s="22" t="e">
        <f>J72</f>
        <v>#REF!</v>
      </c>
      <c r="H88" s="22" t="e">
        <f>G88*(C88/1000000)*1000</f>
        <v>#REF!</v>
      </c>
      <c r="I88" s="29"/>
      <c r="J88" s="29"/>
      <c r="K88" s="3"/>
      <c r="L88" s="29"/>
      <c r="M88" s="29"/>
      <c r="N88" s="29"/>
      <c r="O88" s="29"/>
      <c r="P88" s="29"/>
      <c r="Q88" s="3"/>
    </row>
    <row r="89" spans="1:17" ht="28.25" customHeight="1" x14ac:dyDescent="0.2">
      <c r="A89" s="18">
        <v>3</v>
      </c>
      <c r="B89" s="19" t="str">
        <f>E76</f>
        <v>TF_TSB-10_R00</v>
      </c>
      <c r="C89" s="61" t="e">
        <f>H84</f>
        <v>#REF!</v>
      </c>
      <c r="D89" s="30">
        <f>E77</f>
        <v>1</v>
      </c>
      <c r="E89" s="29"/>
      <c r="F89" s="29"/>
      <c r="G89" s="22" t="e">
        <f>J84</f>
        <v>#REF!</v>
      </c>
      <c r="H89" s="22" t="e">
        <f>G89*(C89/1000000)*1000</f>
        <v>#REF!</v>
      </c>
      <c r="I89" s="29"/>
      <c r="J89" s="29"/>
      <c r="K89" s="3"/>
      <c r="L89" s="29"/>
      <c r="M89" s="29"/>
      <c r="N89" s="29"/>
      <c r="O89" s="29"/>
      <c r="P89" s="29"/>
      <c r="Q89" s="3"/>
    </row>
    <row r="90" spans="1:17" ht="28.25" customHeight="1" x14ac:dyDescent="0.2">
      <c r="A90" s="29"/>
      <c r="B90" s="31"/>
      <c r="C90" s="29"/>
      <c r="D90" s="32"/>
      <c r="E90" s="29"/>
      <c r="F90" s="29"/>
      <c r="G90" s="33" t="s">
        <v>78</v>
      </c>
      <c r="H90" s="34" t="e">
        <f>SUM(H87:H89)</f>
        <v>#REF!</v>
      </c>
      <c r="I90" s="29"/>
      <c r="J90" s="29"/>
      <c r="K90" s="29"/>
      <c r="L90" s="29"/>
      <c r="M90" s="29"/>
      <c r="N90" s="29"/>
      <c r="O90" s="29"/>
      <c r="P90" s="29"/>
      <c r="Q90" s="3"/>
    </row>
    <row r="91" spans="1:17" ht="15" customHeight="1" x14ac:dyDescent="0.2">
      <c r="A91" s="29"/>
      <c r="B91" s="29"/>
      <c r="C91" s="29"/>
      <c r="D91" s="29"/>
      <c r="E91" s="29"/>
      <c r="F91" s="29"/>
      <c r="G91" s="29"/>
      <c r="H91" s="29"/>
      <c r="I91" s="35"/>
      <c r="J91" s="35"/>
      <c r="K91" s="29"/>
      <c r="L91" s="29"/>
      <c r="M91" s="29"/>
      <c r="N91" s="29"/>
      <c r="O91" s="29"/>
      <c r="P91" s="29"/>
      <c r="Q91" s="29"/>
    </row>
    <row r="92" spans="1:17" ht="15" customHeight="1" x14ac:dyDescent="0.2">
      <c r="A92" s="29"/>
      <c r="B92" s="29"/>
      <c r="C92" s="29"/>
      <c r="D92" s="29"/>
      <c r="E92" s="29"/>
      <c r="F92" s="29"/>
      <c r="G92" s="29"/>
      <c r="H92" s="29"/>
      <c r="I92" s="35"/>
      <c r="J92" s="35"/>
      <c r="K92" s="29"/>
      <c r="L92" s="29"/>
      <c r="M92" s="29"/>
      <c r="N92" s="29"/>
      <c r="O92" s="29"/>
      <c r="P92" s="29"/>
      <c r="Q92" s="29"/>
    </row>
    <row r="93" spans="1:17" ht="15.75" customHeight="1" x14ac:dyDescent="0.2">
      <c r="A93" s="129" t="s">
        <v>79</v>
      </c>
      <c r="B93" s="130"/>
      <c r="C93" s="130"/>
      <c r="D93" s="130"/>
      <c r="E93" s="130"/>
      <c r="F93" s="129" t="s">
        <v>80</v>
      </c>
      <c r="G93" s="130"/>
      <c r="H93" s="130"/>
      <c r="I93" s="130"/>
      <c r="J93" s="130"/>
      <c r="K93" s="130"/>
      <c r="L93" s="131"/>
      <c r="M93" s="129" t="s">
        <v>81</v>
      </c>
      <c r="N93" s="130"/>
      <c r="O93" s="130"/>
      <c r="P93" s="130"/>
      <c r="Q93" s="131"/>
    </row>
    <row r="94" spans="1:17" ht="15" customHeight="1" x14ac:dyDescent="0.2">
      <c r="A94" s="145" t="s">
        <v>82</v>
      </c>
      <c r="B94" s="146"/>
      <c r="C94" s="146"/>
      <c r="D94" s="146"/>
      <c r="E94" s="150"/>
      <c r="F94" s="145" t="s">
        <v>83</v>
      </c>
      <c r="G94" s="146"/>
      <c r="H94" s="146"/>
      <c r="I94" s="146"/>
      <c r="J94" s="146"/>
      <c r="K94" s="146"/>
      <c r="L94" s="150"/>
      <c r="M94" s="132" t="s">
        <v>84</v>
      </c>
      <c r="N94" s="133"/>
      <c r="O94" s="133"/>
      <c r="P94" s="133"/>
      <c r="Q94" s="134"/>
    </row>
    <row r="95" spans="1:17" ht="15" customHeight="1" x14ac:dyDescent="0.2">
      <c r="A95" s="170" t="s">
        <v>85</v>
      </c>
      <c r="B95" s="171"/>
      <c r="C95" s="171"/>
      <c r="D95" s="171"/>
      <c r="E95" s="172"/>
      <c r="F95" s="170" t="s">
        <v>86</v>
      </c>
      <c r="G95" s="171"/>
      <c r="H95" s="171"/>
      <c r="I95" s="171"/>
      <c r="J95" s="171"/>
      <c r="K95" s="171"/>
      <c r="L95" s="172"/>
      <c r="M95" s="135" t="s">
        <v>87</v>
      </c>
      <c r="N95" s="136"/>
      <c r="O95" s="136"/>
      <c r="P95" s="136"/>
      <c r="Q95" s="137"/>
    </row>
    <row r="96" spans="1:17" ht="14.75" customHeight="1" x14ac:dyDescent="0.2">
      <c r="A96" s="173" t="s">
        <v>210</v>
      </c>
      <c r="B96" s="174"/>
      <c r="C96" s="174"/>
      <c r="D96" s="174"/>
      <c r="E96" s="175"/>
      <c r="F96" s="173" t="s">
        <v>210</v>
      </c>
      <c r="G96" s="174"/>
      <c r="H96" s="174"/>
      <c r="I96" s="174"/>
      <c r="J96" s="174"/>
      <c r="K96" s="174"/>
      <c r="L96" s="175"/>
      <c r="M96" s="160" t="s">
        <v>210</v>
      </c>
      <c r="N96" s="161"/>
      <c r="O96" s="161"/>
      <c r="P96" s="161"/>
      <c r="Q96" s="162"/>
    </row>
    <row r="97" spans="1:17" ht="15" customHeight="1" x14ac:dyDescent="0.2">
      <c r="A97" s="145" t="s">
        <v>88</v>
      </c>
      <c r="B97" s="146"/>
      <c r="C97" s="146"/>
      <c r="D97" s="146"/>
      <c r="E97" s="49"/>
      <c r="F97" s="64" t="s">
        <v>89</v>
      </c>
      <c r="G97" s="49"/>
      <c r="H97" s="68"/>
      <c r="I97" s="68"/>
      <c r="J97" s="49"/>
      <c r="K97" s="49"/>
      <c r="L97" s="50"/>
      <c r="M97" s="49"/>
      <c r="N97" s="49"/>
      <c r="O97" s="49"/>
      <c r="P97" s="49"/>
      <c r="Q97" s="50"/>
    </row>
    <row r="98" spans="1:17" ht="14.5" customHeight="1" x14ac:dyDescent="0.2">
      <c r="A98" s="51"/>
      <c r="B98" s="36"/>
      <c r="C98" s="36"/>
      <c r="D98" s="36"/>
      <c r="E98" s="36"/>
      <c r="F98" s="51"/>
      <c r="G98" s="36"/>
      <c r="H98" s="36"/>
      <c r="I98" s="36"/>
      <c r="J98" s="36"/>
      <c r="K98" s="36"/>
      <c r="L98" s="52"/>
      <c r="M98" s="36"/>
      <c r="N98" s="36"/>
      <c r="O98" s="36"/>
      <c r="P98" s="36"/>
      <c r="Q98" s="52"/>
    </row>
    <row r="99" spans="1:17" ht="14.5" customHeight="1" x14ac:dyDescent="0.2">
      <c r="A99" s="51"/>
      <c r="B99" s="36"/>
      <c r="C99" s="36"/>
      <c r="D99" s="36"/>
      <c r="E99" s="36"/>
      <c r="F99" s="51"/>
      <c r="G99" s="36"/>
      <c r="H99" s="36"/>
      <c r="I99" s="36"/>
      <c r="J99" s="36"/>
      <c r="K99" s="36"/>
      <c r="L99" s="52"/>
      <c r="M99" s="36"/>
      <c r="N99" s="36"/>
      <c r="O99" s="36"/>
      <c r="P99" s="36"/>
      <c r="Q99" s="52"/>
    </row>
    <row r="100" spans="1:17" ht="14.5" customHeight="1" x14ac:dyDescent="0.2">
      <c r="A100" s="46"/>
      <c r="B100" s="47"/>
      <c r="C100" s="47"/>
      <c r="D100" s="47"/>
      <c r="E100" s="47"/>
      <c r="F100" s="46"/>
      <c r="G100" s="47"/>
      <c r="H100" s="47"/>
      <c r="I100" s="47"/>
      <c r="J100" s="47"/>
      <c r="K100" s="47"/>
      <c r="L100" s="48"/>
      <c r="M100" s="47"/>
      <c r="N100" s="47"/>
      <c r="O100" s="47"/>
      <c r="P100" s="47"/>
      <c r="Q100" s="48"/>
    </row>
    <row r="101" spans="1:17" ht="14.5" customHeight="1" x14ac:dyDescent="0.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</row>
    <row r="102" spans="1:17" ht="14.5" customHeight="1" x14ac:dyDescent="0.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</row>
    <row r="103" spans="1:17" ht="15" customHeight="1" x14ac:dyDescent="0.2">
      <c r="A103" s="29"/>
      <c r="B103" s="29"/>
      <c r="C103" s="29"/>
      <c r="D103" s="29"/>
      <c r="E103" s="29"/>
      <c r="F103" s="29"/>
      <c r="G103" s="29"/>
      <c r="H103" s="29"/>
      <c r="I103" s="35"/>
      <c r="J103" s="35"/>
      <c r="K103" s="29"/>
      <c r="L103" s="29"/>
      <c r="M103" s="29"/>
      <c r="N103" s="29"/>
      <c r="O103" s="29"/>
      <c r="P103" s="29"/>
      <c r="Q103" s="29"/>
    </row>
    <row r="104" spans="1:17" ht="15" customHeight="1" x14ac:dyDescent="0.2">
      <c r="A104" s="147" t="s">
        <v>98</v>
      </c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9"/>
    </row>
    <row r="105" spans="1:17" ht="15" customHeight="1" x14ac:dyDescent="0.2">
      <c r="A105" s="142" t="s">
        <v>99</v>
      </c>
      <c r="B105" s="143"/>
      <c r="C105" s="143"/>
      <c r="D105" s="144"/>
      <c r="E105" s="201" t="s">
        <v>214</v>
      </c>
      <c r="F105" s="202"/>
      <c r="G105" s="202"/>
      <c r="H105" s="202"/>
      <c r="I105" s="202"/>
      <c r="J105" s="202"/>
      <c r="K105" s="202"/>
      <c r="L105" s="202"/>
      <c r="M105" s="202"/>
      <c r="N105" s="202"/>
      <c r="O105" s="202"/>
      <c r="P105" s="202"/>
      <c r="Q105" s="203"/>
    </row>
    <row r="106" spans="1:17" ht="15" customHeight="1" x14ac:dyDescent="0.2">
      <c r="A106" s="142" t="s">
        <v>100</v>
      </c>
      <c r="B106" s="143"/>
      <c r="C106" s="143"/>
      <c r="D106" s="144"/>
      <c r="E106" s="201" t="s">
        <v>215</v>
      </c>
      <c r="F106" s="202"/>
      <c r="G106" s="202"/>
      <c r="H106" s="202"/>
      <c r="I106" s="202"/>
      <c r="J106" s="202"/>
      <c r="K106" s="202"/>
      <c r="L106" s="202"/>
      <c r="M106" s="202"/>
      <c r="N106" s="202"/>
      <c r="O106" s="202"/>
      <c r="P106" s="202"/>
      <c r="Q106" s="203"/>
    </row>
    <row r="107" spans="1:17" ht="54" customHeight="1" x14ac:dyDescent="0.2">
      <c r="A107" s="14" t="s">
        <v>35</v>
      </c>
      <c r="B107" s="14" t="s">
        <v>36</v>
      </c>
      <c r="C107" s="126" t="s">
        <v>37</v>
      </c>
      <c r="D107" s="127"/>
      <c r="E107" s="15" t="s">
        <v>70</v>
      </c>
      <c r="F107" s="14" t="s">
        <v>39</v>
      </c>
      <c r="G107" s="14" t="s">
        <v>40</v>
      </c>
      <c r="H107" s="14" t="s">
        <v>41</v>
      </c>
      <c r="I107" s="16" t="s">
        <v>42</v>
      </c>
      <c r="J107" s="16" t="s">
        <v>43</v>
      </c>
      <c r="K107" s="14" t="s">
        <v>44</v>
      </c>
      <c r="L107" s="14" t="s">
        <v>45</v>
      </c>
      <c r="M107" s="14" t="s">
        <v>46</v>
      </c>
      <c r="N107" s="14" t="s">
        <v>47</v>
      </c>
      <c r="O107" s="14" t="s">
        <v>48</v>
      </c>
      <c r="P107" s="14" t="s">
        <v>49</v>
      </c>
      <c r="Q107" s="14" t="s">
        <v>50</v>
      </c>
    </row>
    <row r="108" spans="1:17" ht="14.5" customHeight="1" x14ac:dyDescent="0.2">
      <c r="A108" s="18">
        <v>1</v>
      </c>
      <c r="B108" s="18" t="s">
        <v>195</v>
      </c>
      <c r="C108" s="20" t="e">
        <f>_xlfn.XLOOKUP(B108,#REF!,#REF!)</f>
        <v>#REF!</v>
      </c>
      <c r="D108" s="9"/>
      <c r="E108" s="24" t="e">
        <f>_xlfn.XLOOKUP(C108,#REF!,#REF!)</f>
        <v>#REF!</v>
      </c>
      <c r="F108" s="18" t="e">
        <f>_xlfn.XLOOKUP(C108,#REF!,#REF!)</f>
        <v>#REF!</v>
      </c>
      <c r="G108" s="41">
        <v>0.75</v>
      </c>
      <c r="H108" s="42" t="e">
        <f>G108*$H$80</f>
        <v>#REF!</v>
      </c>
      <c r="I108" s="22" t="e">
        <f>_xlfn.XLOOKUP(B108,#REF!,#REF!)</f>
        <v>#REF!</v>
      </c>
      <c r="J108" s="22" t="e">
        <f t="shared" ref="J108:J109" si="15">G108*I108</f>
        <v>#REF!</v>
      </c>
      <c r="K108" s="73" t="e">
        <f t="shared" ref="K108:K109" si="16">H108*$J$18/1000000</f>
        <v>#REF!</v>
      </c>
      <c r="L108" s="65"/>
      <c r="M108" s="18">
        <v>1</v>
      </c>
      <c r="N108" s="18" t="s">
        <v>54</v>
      </c>
      <c r="O108" s="151" t="s">
        <v>55</v>
      </c>
      <c r="P108" s="151" t="s">
        <v>56</v>
      </c>
      <c r="Q108" s="199" t="s">
        <v>73</v>
      </c>
    </row>
    <row r="109" spans="1:17" ht="14.5" customHeight="1" x14ac:dyDescent="0.2">
      <c r="A109" s="18">
        <v>2</v>
      </c>
      <c r="B109" s="18" t="s">
        <v>187</v>
      </c>
      <c r="C109" s="20" t="s">
        <v>217</v>
      </c>
      <c r="D109" s="9"/>
      <c r="E109" s="24" t="s">
        <v>118</v>
      </c>
      <c r="F109" s="18" t="s">
        <v>188</v>
      </c>
      <c r="G109" s="41">
        <v>0.25</v>
      </c>
      <c r="H109" s="42" t="e">
        <f t="shared" ref="H109" si="17">G109*$H$80</f>
        <v>#REF!</v>
      </c>
      <c r="I109" s="22" t="e">
        <f>_xlfn.XLOOKUP(B109,#REF!,#REF!)</f>
        <v>#REF!</v>
      </c>
      <c r="J109" s="22" t="e">
        <f t="shared" si="15"/>
        <v>#REF!</v>
      </c>
      <c r="K109" s="73" t="e">
        <f t="shared" si="16"/>
        <v>#REF!</v>
      </c>
      <c r="L109" s="65"/>
      <c r="M109" s="90">
        <v>2</v>
      </c>
      <c r="N109" s="92" t="s">
        <v>54</v>
      </c>
      <c r="O109" s="152"/>
      <c r="P109" s="152"/>
      <c r="Q109" s="200"/>
    </row>
    <row r="110" spans="1:17" s="39" customFormat="1" ht="14.5" customHeight="1" x14ac:dyDescent="0.2">
      <c r="A110" s="209" t="s">
        <v>64</v>
      </c>
      <c r="B110" s="210"/>
      <c r="C110" s="210"/>
      <c r="D110" s="210"/>
      <c r="E110" s="210"/>
      <c r="F110" s="211"/>
      <c r="G110" s="60">
        <f>SUM(G108:G109)</f>
        <v>1</v>
      </c>
      <c r="H110" s="59" t="e">
        <f>SUM(H108:H109)</f>
        <v>#REF!</v>
      </c>
      <c r="I110" s="37"/>
      <c r="J110" s="37" t="e">
        <f>SUM(J108:J109)</f>
        <v>#REF!</v>
      </c>
      <c r="K110" s="38"/>
      <c r="L110" s="38"/>
      <c r="M110" s="44"/>
      <c r="N110" s="45"/>
      <c r="O110" s="45"/>
      <c r="P110" s="45"/>
      <c r="Q110" s="45"/>
    </row>
    <row r="111" spans="1:17" ht="14.5" customHeight="1" x14ac:dyDescent="0.2"/>
    <row r="112" spans="1:17" x14ac:dyDescent="0.2">
      <c r="A112" s="147" t="s">
        <v>98</v>
      </c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9"/>
    </row>
    <row r="113" spans="1:17" ht="15" customHeight="1" x14ac:dyDescent="0.2">
      <c r="A113" s="142" t="s">
        <v>99</v>
      </c>
      <c r="B113" s="143"/>
      <c r="C113" s="143"/>
      <c r="D113" s="144"/>
      <c r="E113" s="201" t="s">
        <v>61</v>
      </c>
      <c r="F113" s="202"/>
      <c r="G113" s="202"/>
      <c r="H113" s="202"/>
      <c r="I113" s="202"/>
      <c r="J113" s="202"/>
      <c r="K113" s="202"/>
      <c r="L113" s="202"/>
      <c r="M113" s="202"/>
      <c r="N113" s="202"/>
      <c r="O113" s="202"/>
      <c r="P113" s="202"/>
      <c r="Q113" s="203"/>
    </row>
    <row r="114" spans="1:17" ht="15" customHeight="1" x14ac:dyDescent="0.2">
      <c r="A114" s="142" t="s">
        <v>100</v>
      </c>
      <c r="B114" s="143"/>
      <c r="C114" s="143"/>
      <c r="D114" s="144"/>
      <c r="E114" s="201" t="s">
        <v>227</v>
      </c>
      <c r="F114" s="202"/>
      <c r="G114" s="202"/>
      <c r="H114" s="202"/>
      <c r="I114" s="202"/>
      <c r="J114" s="202"/>
      <c r="K114" s="202"/>
      <c r="L114" s="202"/>
      <c r="M114" s="202"/>
      <c r="N114" s="202"/>
      <c r="O114" s="202"/>
      <c r="P114" s="202"/>
      <c r="Q114" s="203"/>
    </row>
    <row r="115" spans="1:17" ht="48" x14ac:dyDescent="0.2">
      <c r="A115" s="14" t="s">
        <v>35</v>
      </c>
      <c r="B115" s="14" t="s">
        <v>36</v>
      </c>
      <c r="C115" s="126" t="s">
        <v>37</v>
      </c>
      <c r="D115" s="127"/>
      <c r="E115" s="15" t="s">
        <v>70</v>
      </c>
      <c r="F115" s="14" t="s">
        <v>39</v>
      </c>
      <c r="G115" s="14" t="s">
        <v>40</v>
      </c>
      <c r="H115" s="14" t="s">
        <v>41</v>
      </c>
      <c r="I115" s="16" t="s">
        <v>42</v>
      </c>
      <c r="J115" s="16" t="s">
        <v>43</v>
      </c>
      <c r="K115" s="14" t="s">
        <v>44</v>
      </c>
      <c r="L115" s="14" t="s">
        <v>45</v>
      </c>
      <c r="M115" s="14" t="s">
        <v>46</v>
      </c>
      <c r="N115" s="14" t="s">
        <v>47</v>
      </c>
      <c r="O115" s="14" t="s">
        <v>48</v>
      </c>
      <c r="P115" s="14" t="s">
        <v>49</v>
      </c>
      <c r="Q115" s="14" t="s">
        <v>50</v>
      </c>
    </row>
    <row r="116" spans="1:17" ht="15" customHeight="1" x14ac:dyDescent="0.2">
      <c r="A116" s="18">
        <v>1</v>
      </c>
      <c r="B116" s="18" t="s">
        <v>195</v>
      </c>
      <c r="C116" s="20" t="s">
        <v>233</v>
      </c>
      <c r="D116" s="9"/>
      <c r="E116" s="24" t="e">
        <f>_xlfn.XLOOKUP(C116,#REF!,#REF!)</f>
        <v>#REF!</v>
      </c>
      <c r="F116" s="18" t="e">
        <f>_xlfn.XLOOKUP(C116,#REF!,#REF!)</f>
        <v>#REF!</v>
      </c>
      <c r="G116" s="87">
        <v>1.5057999999999998E-2</v>
      </c>
      <c r="H116" s="42" t="e">
        <f>G116*$H$80</f>
        <v>#REF!</v>
      </c>
      <c r="I116" s="97" t="e">
        <f>_xlfn.XLOOKUP(B116,#REF!,#REF!)</f>
        <v>#REF!</v>
      </c>
      <c r="J116" s="22" t="e">
        <f t="shared" ref="J116:J127" si="18">G116*I116</f>
        <v>#REF!</v>
      </c>
      <c r="K116" s="73" t="e">
        <f t="shared" ref="K116:K127" si="19">H116*$J$18/1000000</f>
        <v>#REF!</v>
      </c>
      <c r="L116" s="18"/>
      <c r="M116" s="214">
        <v>1</v>
      </c>
      <c r="N116" s="214" t="s">
        <v>54</v>
      </c>
      <c r="O116" s="214" t="s">
        <v>55</v>
      </c>
      <c r="P116" s="214" t="s">
        <v>62</v>
      </c>
      <c r="Q116" s="214" t="s">
        <v>73</v>
      </c>
    </row>
    <row r="117" spans="1:17" ht="16" x14ac:dyDescent="0.2">
      <c r="A117" s="18">
        <v>2</v>
      </c>
      <c r="B117" s="18" t="s">
        <v>126</v>
      </c>
      <c r="C117" s="20" t="s">
        <v>119</v>
      </c>
      <c r="D117" s="9"/>
      <c r="E117" s="24" t="e">
        <f>_xlfn.XLOOKUP(C117,#REF!,#REF!)</f>
        <v>#REF!</v>
      </c>
      <c r="F117" s="18" t="e">
        <f>_xlfn.XLOOKUP(C117,#REF!,#REF!)</f>
        <v>#REF!</v>
      </c>
      <c r="G117" s="87">
        <v>7.5999999999999991E-5</v>
      </c>
      <c r="H117" s="42" t="e">
        <f t="shared" ref="H117:H158" si="20">G117*$H$80</f>
        <v>#REF!</v>
      </c>
      <c r="I117" s="97" t="e">
        <f>_xlfn.XLOOKUP(B117,#REF!,#REF!)</f>
        <v>#REF!</v>
      </c>
      <c r="J117" s="22" t="e">
        <f t="shared" si="18"/>
        <v>#REF!</v>
      </c>
      <c r="K117" s="73" t="e">
        <f t="shared" si="19"/>
        <v>#REF!</v>
      </c>
      <c r="L117" s="58"/>
      <c r="M117" s="214"/>
      <c r="N117" s="214"/>
      <c r="O117" s="214"/>
      <c r="P117" s="214"/>
      <c r="Q117" s="214"/>
    </row>
    <row r="118" spans="1:17" ht="16" x14ac:dyDescent="0.2">
      <c r="A118" s="18">
        <v>3</v>
      </c>
      <c r="B118" s="18" t="s">
        <v>158</v>
      </c>
      <c r="C118" s="20" t="s">
        <v>234</v>
      </c>
      <c r="D118" s="9"/>
      <c r="E118" s="24" t="e">
        <f>_xlfn.XLOOKUP(C118,#REF!,#REF!)</f>
        <v>#REF!</v>
      </c>
      <c r="F118" s="18" t="e">
        <f>_xlfn.XLOOKUP(C118,#REF!,#REF!)</f>
        <v>#REF!</v>
      </c>
      <c r="G118" s="87">
        <v>3.2000000000000003E-4</v>
      </c>
      <c r="H118" s="42" t="e">
        <f t="shared" si="20"/>
        <v>#REF!</v>
      </c>
      <c r="I118" s="97" t="e">
        <f>_xlfn.XLOOKUP(B118,#REF!,#REF!)</f>
        <v>#REF!</v>
      </c>
      <c r="J118" s="22" t="e">
        <f t="shared" si="18"/>
        <v>#REF!</v>
      </c>
      <c r="K118" s="73" t="e">
        <f t="shared" si="19"/>
        <v>#REF!</v>
      </c>
      <c r="L118" s="58"/>
      <c r="M118" s="214"/>
      <c r="N118" s="214"/>
      <c r="O118" s="214"/>
      <c r="P118" s="214"/>
      <c r="Q118" s="214"/>
    </row>
    <row r="119" spans="1:17" ht="16" x14ac:dyDescent="0.2">
      <c r="A119" s="18">
        <v>4</v>
      </c>
      <c r="B119" s="18" t="s">
        <v>160</v>
      </c>
      <c r="C119" s="20" t="s">
        <v>235</v>
      </c>
      <c r="D119" s="9"/>
      <c r="E119" s="24" t="e">
        <f>_xlfn.XLOOKUP(C119,#REF!,#REF!)</f>
        <v>#REF!</v>
      </c>
      <c r="F119" s="18" t="e">
        <f>_xlfn.XLOOKUP(C119,#REF!,#REF!)</f>
        <v>#REF!</v>
      </c>
      <c r="G119" s="87">
        <v>3.5800000000000003E-4</v>
      </c>
      <c r="H119" s="42" t="e">
        <f t="shared" si="20"/>
        <v>#REF!</v>
      </c>
      <c r="I119" s="97" t="e">
        <f>_xlfn.XLOOKUP(B119,#REF!,#REF!)</f>
        <v>#REF!</v>
      </c>
      <c r="J119" s="22" t="e">
        <f t="shared" si="18"/>
        <v>#REF!</v>
      </c>
      <c r="K119" s="73" t="e">
        <f t="shared" si="19"/>
        <v>#REF!</v>
      </c>
      <c r="L119" s="58"/>
      <c r="M119" s="214"/>
      <c r="N119" s="214"/>
      <c r="O119" s="214"/>
      <c r="P119" s="214"/>
      <c r="Q119" s="214"/>
    </row>
    <row r="120" spans="1:17" ht="16" x14ac:dyDescent="0.2">
      <c r="A120" s="18">
        <v>5</v>
      </c>
      <c r="B120" s="18" t="s">
        <v>209</v>
      </c>
      <c r="C120" s="20" t="s">
        <v>236</v>
      </c>
      <c r="D120" s="9"/>
      <c r="E120" s="24" t="e">
        <f>_xlfn.XLOOKUP(C120,#REF!,#REF!)</f>
        <v>#REF!</v>
      </c>
      <c r="F120" s="18" t="e">
        <f>_xlfn.XLOOKUP(C120,#REF!,#REF!)</f>
        <v>#REF!</v>
      </c>
      <c r="G120" s="87">
        <v>7.9999999999999996E-6</v>
      </c>
      <c r="H120" s="42" t="e">
        <f t="shared" si="20"/>
        <v>#REF!</v>
      </c>
      <c r="I120" s="97" t="e">
        <f>_xlfn.XLOOKUP(B120,#REF!,#REF!)</f>
        <v>#REF!</v>
      </c>
      <c r="J120" s="22" t="e">
        <f t="shared" si="18"/>
        <v>#REF!</v>
      </c>
      <c r="K120" s="73" t="e">
        <f t="shared" si="19"/>
        <v>#REF!</v>
      </c>
      <c r="L120" s="58"/>
      <c r="M120" s="214">
        <v>2</v>
      </c>
      <c r="N120" s="214" t="s">
        <v>54</v>
      </c>
      <c r="O120" s="214"/>
      <c r="P120" s="214"/>
      <c r="Q120" s="214"/>
    </row>
    <row r="121" spans="1:17" ht="16" x14ac:dyDescent="0.2">
      <c r="A121" s="18">
        <v>6</v>
      </c>
      <c r="B121" s="18" t="s">
        <v>203</v>
      </c>
      <c r="C121" s="20" t="s">
        <v>204</v>
      </c>
      <c r="D121" s="9"/>
      <c r="E121" s="24" t="s">
        <v>118</v>
      </c>
      <c r="F121" s="18" t="e">
        <f>_xlfn.XLOOKUP(C121,#REF!,#REF!)</f>
        <v>#REF!</v>
      </c>
      <c r="G121" s="87">
        <v>3.77E-4</v>
      </c>
      <c r="H121" s="42" t="e">
        <f t="shared" si="20"/>
        <v>#REF!</v>
      </c>
      <c r="I121" s="97" t="e">
        <f>_xlfn.XLOOKUP(B121,#REF!,#REF!)</f>
        <v>#REF!</v>
      </c>
      <c r="J121" s="22" t="e">
        <f t="shared" si="18"/>
        <v>#REF!</v>
      </c>
      <c r="K121" s="73" t="e">
        <f t="shared" si="19"/>
        <v>#REF!</v>
      </c>
      <c r="L121" s="58"/>
      <c r="M121" s="214"/>
      <c r="N121" s="214"/>
      <c r="O121" s="214"/>
      <c r="P121" s="214"/>
      <c r="Q121" s="214"/>
    </row>
    <row r="122" spans="1:17" ht="16" x14ac:dyDescent="0.2">
      <c r="A122" s="18">
        <v>7</v>
      </c>
      <c r="B122" s="18" t="s">
        <v>135</v>
      </c>
      <c r="C122" s="20" t="s">
        <v>237</v>
      </c>
      <c r="D122" s="9"/>
      <c r="E122" s="24" t="e">
        <f>_xlfn.XLOOKUP(C122,#REF!,#REF!)</f>
        <v>#REF!</v>
      </c>
      <c r="F122" s="18" t="e">
        <f>_xlfn.XLOOKUP(C122,#REF!,#REF!)</f>
        <v>#REF!</v>
      </c>
      <c r="G122" s="87">
        <v>1.5099999999999998E-4</v>
      </c>
      <c r="H122" s="42" t="e">
        <f t="shared" si="20"/>
        <v>#REF!</v>
      </c>
      <c r="I122" s="97" t="e">
        <f>_xlfn.XLOOKUP(B122,#REF!,#REF!)</f>
        <v>#REF!</v>
      </c>
      <c r="J122" s="22" t="e">
        <f t="shared" si="18"/>
        <v>#REF!</v>
      </c>
      <c r="K122" s="73" t="e">
        <f t="shared" si="19"/>
        <v>#REF!</v>
      </c>
      <c r="L122" s="58"/>
      <c r="M122" s="214"/>
      <c r="N122" s="214"/>
      <c r="O122" s="214"/>
      <c r="P122" s="214"/>
      <c r="Q122" s="214"/>
    </row>
    <row r="123" spans="1:17" ht="16" x14ac:dyDescent="0.2">
      <c r="A123" s="18">
        <v>8</v>
      </c>
      <c r="B123" s="18" t="s">
        <v>127</v>
      </c>
      <c r="C123" s="20" t="s">
        <v>238</v>
      </c>
      <c r="D123" s="9"/>
      <c r="E123" s="24" t="e">
        <f>_xlfn.XLOOKUP(C123,#REF!,#REF!)</f>
        <v>#REF!</v>
      </c>
      <c r="F123" s="18" t="e">
        <f>_xlfn.XLOOKUP(C123,#REF!,#REF!)</f>
        <v>#REF!</v>
      </c>
      <c r="G123" s="87">
        <v>3.7999999999999995E-5</v>
      </c>
      <c r="H123" s="42" t="e">
        <f t="shared" si="20"/>
        <v>#REF!</v>
      </c>
      <c r="I123" s="97" t="e">
        <f>_xlfn.XLOOKUP(B123,#REF!,#REF!)</f>
        <v>#REF!</v>
      </c>
      <c r="J123" s="22" t="e">
        <f t="shared" si="18"/>
        <v>#REF!</v>
      </c>
      <c r="K123" s="73" t="e">
        <f t="shared" si="19"/>
        <v>#REF!</v>
      </c>
      <c r="L123" s="58"/>
      <c r="M123" s="214"/>
      <c r="N123" s="214"/>
      <c r="O123" s="214"/>
      <c r="P123" s="214"/>
      <c r="Q123" s="214"/>
    </row>
    <row r="124" spans="1:17" ht="16" x14ac:dyDescent="0.2">
      <c r="A124" s="18">
        <v>9</v>
      </c>
      <c r="B124" s="18" t="s">
        <v>133</v>
      </c>
      <c r="C124" s="20" t="s">
        <v>239</v>
      </c>
      <c r="D124" s="9"/>
      <c r="E124" s="24" t="e">
        <f>_xlfn.XLOOKUP(C124,#REF!,#REF!)</f>
        <v>#REF!</v>
      </c>
      <c r="F124" s="18" t="e">
        <f>_xlfn.XLOOKUP(C124,#REF!,#REF!)</f>
        <v>#REF!</v>
      </c>
      <c r="G124" s="87">
        <v>8.2312999999999997E-2</v>
      </c>
      <c r="H124" s="42" t="e">
        <f t="shared" si="20"/>
        <v>#REF!</v>
      </c>
      <c r="I124" s="97" t="e">
        <f>_xlfn.XLOOKUP(B124,#REF!,#REF!)</f>
        <v>#REF!</v>
      </c>
      <c r="J124" s="22" t="e">
        <f t="shared" si="18"/>
        <v>#REF!</v>
      </c>
      <c r="K124" s="73" t="e">
        <f t="shared" si="19"/>
        <v>#REF!</v>
      </c>
      <c r="L124" s="58"/>
      <c r="M124" s="214"/>
      <c r="N124" s="214"/>
      <c r="O124" s="214"/>
      <c r="P124" s="214"/>
      <c r="Q124" s="214"/>
    </row>
    <row r="125" spans="1:17" ht="16" x14ac:dyDescent="0.2">
      <c r="A125" s="18">
        <v>10</v>
      </c>
      <c r="B125" s="18" t="s">
        <v>134</v>
      </c>
      <c r="C125" s="20" t="s">
        <v>240</v>
      </c>
      <c r="D125" s="9"/>
      <c r="E125" s="24" t="e">
        <f>_xlfn.XLOOKUP(C125,#REF!,#REF!)</f>
        <v>#REF!</v>
      </c>
      <c r="F125" s="18" t="e">
        <f>_xlfn.XLOOKUP(C125,#REF!,#REF!)</f>
        <v>#REF!</v>
      </c>
      <c r="G125" s="87">
        <v>3.7999999999999995E-5</v>
      </c>
      <c r="H125" s="42" t="e">
        <f t="shared" si="20"/>
        <v>#REF!</v>
      </c>
      <c r="I125" s="97" t="e">
        <f>_xlfn.XLOOKUP(B125,#REF!,#REF!)</f>
        <v>#REF!</v>
      </c>
      <c r="J125" s="22" t="e">
        <f t="shared" si="18"/>
        <v>#REF!</v>
      </c>
      <c r="K125" s="73" t="e">
        <f t="shared" si="19"/>
        <v>#REF!</v>
      </c>
      <c r="L125" s="58"/>
      <c r="M125" s="214"/>
      <c r="N125" s="214"/>
      <c r="O125" s="214"/>
      <c r="P125" s="214"/>
      <c r="Q125" s="214"/>
    </row>
    <row r="126" spans="1:17" ht="16" x14ac:dyDescent="0.2">
      <c r="A126" s="18">
        <v>11</v>
      </c>
      <c r="B126" s="18" t="s">
        <v>150</v>
      </c>
      <c r="C126" s="20" t="s">
        <v>241</v>
      </c>
      <c r="D126" s="9"/>
      <c r="E126" s="24" t="e">
        <f>_xlfn.XLOOKUP(C126,#REF!,#REF!)</f>
        <v>#REF!</v>
      </c>
      <c r="F126" s="18" t="e">
        <f>_xlfn.XLOOKUP(C126,#REF!,#REF!)</f>
        <v>#REF!</v>
      </c>
      <c r="G126" s="87">
        <v>3.7999999999999995E-5</v>
      </c>
      <c r="H126" s="42" t="e">
        <f t="shared" si="20"/>
        <v>#REF!</v>
      </c>
      <c r="I126" s="97" t="e">
        <f>_xlfn.XLOOKUP(B126,#REF!,#REF!)</f>
        <v>#REF!</v>
      </c>
      <c r="J126" s="22" t="e">
        <f t="shared" si="18"/>
        <v>#REF!</v>
      </c>
      <c r="K126" s="73" t="e">
        <f t="shared" si="19"/>
        <v>#REF!</v>
      </c>
      <c r="L126" s="58"/>
      <c r="M126" s="214"/>
      <c r="N126" s="214"/>
      <c r="O126" s="214"/>
      <c r="P126" s="214"/>
      <c r="Q126" s="214"/>
    </row>
    <row r="127" spans="1:17" ht="16" x14ac:dyDescent="0.2">
      <c r="A127" s="18">
        <v>12</v>
      </c>
      <c r="B127" s="18" t="s">
        <v>151</v>
      </c>
      <c r="C127" s="20" t="s">
        <v>152</v>
      </c>
      <c r="D127" s="9"/>
      <c r="E127" s="24" t="e">
        <f>_xlfn.XLOOKUP(C127,#REF!,#REF!)</f>
        <v>#REF!</v>
      </c>
      <c r="F127" s="18" t="e">
        <f>_xlfn.XLOOKUP(C127,#REF!,#REF!)</f>
        <v>#REF!</v>
      </c>
      <c r="G127" s="87">
        <v>3.7999999999999995E-5</v>
      </c>
      <c r="H127" s="42" t="e">
        <f t="shared" si="20"/>
        <v>#REF!</v>
      </c>
      <c r="I127" s="97" t="e">
        <f>_xlfn.XLOOKUP(B127,#REF!,#REF!)</f>
        <v>#REF!</v>
      </c>
      <c r="J127" s="22" t="e">
        <f t="shared" si="18"/>
        <v>#REF!</v>
      </c>
      <c r="K127" s="73" t="e">
        <f t="shared" si="19"/>
        <v>#REF!</v>
      </c>
      <c r="L127" s="58"/>
      <c r="M127" s="214"/>
      <c r="N127" s="214"/>
      <c r="O127" s="214"/>
      <c r="P127" s="214"/>
      <c r="Q127" s="214"/>
    </row>
    <row r="128" spans="1:17" ht="16" x14ac:dyDescent="0.2">
      <c r="A128" s="18">
        <v>13</v>
      </c>
      <c r="B128" s="18" t="s">
        <v>153</v>
      </c>
      <c r="C128" s="20" t="s">
        <v>242</v>
      </c>
      <c r="D128" s="9"/>
      <c r="E128" s="24" t="e">
        <f>_xlfn.XLOOKUP(C128,#REF!,#REF!)</f>
        <v>#REF!</v>
      </c>
      <c r="F128" s="18" t="e">
        <f>_xlfn.XLOOKUP(C128,#REF!,#REF!)</f>
        <v>#REF!</v>
      </c>
      <c r="G128" s="87">
        <v>1.7881000000000001E-2</v>
      </c>
      <c r="H128" s="42" t="e">
        <f t="shared" si="20"/>
        <v>#REF!</v>
      </c>
      <c r="I128" s="97" t="e">
        <f>_xlfn.XLOOKUP(B128,#REF!,#REF!)</f>
        <v>#REF!</v>
      </c>
      <c r="J128" s="22" t="e">
        <f t="shared" ref="J128:J158" si="21">G128*I128</f>
        <v>#REF!</v>
      </c>
      <c r="K128" s="73" t="e">
        <f t="shared" ref="K128:K158" si="22">H128*$J$18/1000000</f>
        <v>#REF!</v>
      </c>
      <c r="L128" s="58"/>
      <c r="M128" s="214"/>
      <c r="N128" s="214"/>
      <c r="O128" s="214"/>
      <c r="P128" s="214"/>
      <c r="Q128" s="214"/>
    </row>
    <row r="129" spans="1:17" ht="16" x14ac:dyDescent="0.2">
      <c r="A129" s="18">
        <v>14</v>
      </c>
      <c r="B129" s="18" t="s">
        <v>154</v>
      </c>
      <c r="C129" s="20" t="s">
        <v>243</v>
      </c>
      <c r="D129" s="9"/>
      <c r="E129" s="24" t="e">
        <f>_xlfn.XLOOKUP(C129,#REF!,#REF!)</f>
        <v>#REF!</v>
      </c>
      <c r="F129" s="18" t="e">
        <f>_xlfn.XLOOKUP(C129,#REF!,#REF!)</f>
        <v>#REF!</v>
      </c>
      <c r="G129" s="87">
        <v>7.5290000000000001E-3</v>
      </c>
      <c r="H129" s="42" t="e">
        <f t="shared" si="20"/>
        <v>#REF!</v>
      </c>
      <c r="I129" s="97" t="e">
        <f>_xlfn.XLOOKUP(B129,#REF!,#REF!)</f>
        <v>#REF!</v>
      </c>
      <c r="J129" s="22" t="e">
        <f t="shared" si="21"/>
        <v>#REF!</v>
      </c>
      <c r="K129" s="73" t="e">
        <f t="shared" si="22"/>
        <v>#REF!</v>
      </c>
      <c r="L129" s="58"/>
      <c r="M129" s="214"/>
      <c r="N129" s="214"/>
      <c r="O129" s="214"/>
      <c r="P129" s="214"/>
      <c r="Q129" s="214"/>
    </row>
    <row r="130" spans="1:17" ht="16" x14ac:dyDescent="0.2">
      <c r="A130" s="18">
        <v>15</v>
      </c>
      <c r="B130" s="18" t="s">
        <v>155</v>
      </c>
      <c r="C130" s="20" t="s">
        <v>244</v>
      </c>
      <c r="D130" s="9"/>
      <c r="E130" s="24" t="e">
        <f>_xlfn.XLOOKUP(C130,#REF!,#REF!)</f>
        <v>#REF!</v>
      </c>
      <c r="F130" s="18" t="e">
        <f>_xlfn.XLOOKUP(C130,#REF!,#REF!)</f>
        <v>#REF!</v>
      </c>
      <c r="G130" s="87">
        <v>3.7999999999999995E-5</v>
      </c>
      <c r="H130" s="42" t="e">
        <f t="shared" si="20"/>
        <v>#REF!</v>
      </c>
      <c r="I130" s="97" t="e">
        <f>_xlfn.XLOOKUP(B130,#REF!,#REF!)</f>
        <v>#REF!</v>
      </c>
      <c r="J130" s="22" t="e">
        <f t="shared" si="21"/>
        <v>#REF!</v>
      </c>
      <c r="K130" s="73" t="e">
        <f t="shared" si="22"/>
        <v>#REF!</v>
      </c>
      <c r="L130" s="58"/>
      <c r="M130" s="214"/>
      <c r="N130" s="214"/>
      <c r="O130" s="214"/>
      <c r="P130" s="214"/>
      <c r="Q130" s="214"/>
    </row>
    <row r="131" spans="1:17" ht="16" x14ac:dyDescent="0.2">
      <c r="A131" s="18">
        <v>16</v>
      </c>
      <c r="B131" s="18" t="s">
        <v>156</v>
      </c>
      <c r="C131" s="20" t="s">
        <v>245</v>
      </c>
      <c r="D131" s="9"/>
      <c r="E131" s="24" t="e">
        <f>_xlfn.XLOOKUP(C131,#REF!,#REF!)</f>
        <v>#REF!</v>
      </c>
      <c r="F131" s="18" t="e">
        <f>_xlfn.XLOOKUP(C131,#REF!,#REF!)</f>
        <v>#REF!</v>
      </c>
      <c r="G131" s="87">
        <v>9.4999999999999992E-5</v>
      </c>
      <c r="H131" s="42" t="e">
        <f t="shared" si="20"/>
        <v>#REF!</v>
      </c>
      <c r="I131" s="97" t="e">
        <f>_xlfn.XLOOKUP(B131,#REF!,#REF!)</f>
        <v>#REF!</v>
      </c>
      <c r="J131" s="22" t="e">
        <f t="shared" si="21"/>
        <v>#REF!</v>
      </c>
      <c r="K131" s="73" t="e">
        <f t="shared" si="22"/>
        <v>#REF!</v>
      </c>
      <c r="L131" s="58"/>
      <c r="M131" s="214"/>
      <c r="N131" s="214"/>
      <c r="O131" s="214"/>
      <c r="P131" s="214"/>
      <c r="Q131" s="214"/>
    </row>
    <row r="132" spans="1:17" ht="16" x14ac:dyDescent="0.2">
      <c r="A132" s="18">
        <v>17</v>
      </c>
      <c r="B132" s="18" t="s">
        <v>159</v>
      </c>
      <c r="C132" s="20" t="s">
        <v>246</v>
      </c>
      <c r="D132" s="9"/>
      <c r="E132" s="24" t="e">
        <f>_xlfn.XLOOKUP(C132,#REF!,#REF!)</f>
        <v>#REF!</v>
      </c>
      <c r="F132" s="18" t="e">
        <f>_xlfn.XLOOKUP(C132,#REF!,#REF!)</f>
        <v>#REF!</v>
      </c>
      <c r="G132" s="87">
        <v>3.7999999999999995E-5</v>
      </c>
      <c r="H132" s="42" t="e">
        <f t="shared" si="20"/>
        <v>#REF!</v>
      </c>
      <c r="I132" s="97" t="e">
        <f>_xlfn.XLOOKUP(B132,#REF!,#REF!)</f>
        <v>#REF!</v>
      </c>
      <c r="J132" s="22" t="e">
        <f t="shared" si="21"/>
        <v>#REF!</v>
      </c>
      <c r="K132" s="73" t="e">
        <f t="shared" si="22"/>
        <v>#REF!</v>
      </c>
      <c r="L132" s="58"/>
      <c r="M132" s="214"/>
      <c r="N132" s="214"/>
      <c r="O132" s="214"/>
      <c r="P132" s="214"/>
      <c r="Q132" s="214"/>
    </row>
    <row r="133" spans="1:17" ht="16" x14ac:dyDescent="0.2">
      <c r="A133" s="18">
        <v>18</v>
      </c>
      <c r="B133" s="18" t="s">
        <v>167</v>
      </c>
      <c r="C133" s="20" t="s">
        <v>247</v>
      </c>
      <c r="D133" s="9"/>
      <c r="E133" s="24" t="e">
        <f>_xlfn.XLOOKUP(C133,#REF!,#REF!)</f>
        <v>#REF!</v>
      </c>
      <c r="F133" s="18" t="e">
        <f>_xlfn.XLOOKUP(C133,#REF!,#REF!)</f>
        <v>#REF!</v>
      </c>
      <c r="G133" s="87">
        <v>7.5999999999999991E-5</v>
      </c>
      <c r="H133" s="42" t="e">
        <f t="shared" si="20"/>
        <v>#REF!</v>
      </c>
      <c r="I133" s="97" t="e">
        <f>_xlfn.XLOOKUP(B133,#REF!,#REF!)</f>
        <v>#REF!</v>
      </c>
      <c r="J133" s="22" t="e">
        <f t="shared" si="21"/>
        <v>#REF!</v>
      </c>
      <c r="K133" s="73" t="e">
        <f t="shared" si="22"/>
        <v>#REF!</v>
      </c>
      <c r="L133" s="58"/>
      <c r="M133" s="214"/>
      <c r="N133" s="214"/>
      <c r="O133" s="214"/>
      <c r="P133" s="214"/>
      <c r="Q133" s="214"/>
    </row>
    <row r="134" spans="1:17" ht="16" x14ac:dyDescent="0.2">
      <c r="A134" s="18">
        <v>19</v>
      </c>
      <c r="B134" s="18" t="s">
        <v>168</v>
      </c>
      <c r="C134" s="20" t="s">
        <v>248</v>
      </c>
      <c r="D134" s="9"/>
      <c r="E134" s="24" t="e">
        <f>_xlfn.XLOOKUP(C134,#REF!,#REF!)</f>
        <v>#REF!</v>
      </c>
      <c r="F134" s="18" t="e">
        <f>_xlfn.XLOOKUP(C134,#REF!,#REF!)</f>
        <v>#REF!</v>
      </c>
      <c r="G134" s="87">
        <v>1.13E-4</v>
      </c>
      <c r="H134" s="42" t="e">
        <f t="shared" si="20"/>
        <v>#REF!</v>
      </c>
      <c r="I134" s="97" t="e">
        <f>_xlfn.XLOOKUP(B134,#REF!,#REF!)</f>
        <v>#REF!</v>
      </c>
      <c r="J134" s="22" t="e">
        <f t="shared" si="21"/>
        <v>#REF!</v>
      </c>
      <c r="K134" s="73" t="e">
        <f t="shared" si="22"/>
        <v>#REF!</v>
      </c>
      <c r="L134" s="58"/>
      <c r="M134" s="214"/>
      <c r="N134" s="214"/>
      <c r="O134" s="214"/>
      <c r="P134" s="214"/>
      <c r="Q134" s="214"/>
    </row>
    <row r="135" spans="1:17" ht="16" x14ac:dyDescent="0.2">
      <c r="A135" s="18">
        <v>20</v>
      </c>
      <c r="B135" s="18" t="s">
        <v>169</v>
      </c>
      <c r="C135" s="20" t="s">
        <v>249</v>
      </c>
      <c r="D135" s="9"/>
      <c r="E135" s="24" t="e">
        <f>_xlfn.XLOOKUP(C135,#REF!,#REF!)</f>
        <v>#REF!</v>
      </c>
      <c r="F135" s="18" t="e">
        <f>_xlfn.XLOOKUP(C135,#REF!,#REF!)</f>
        <v>#REF!</v>
      </c>
      <c r="G135" s="87">
        <v>3.9999999999999998E-6</v>
      </c>
      <c r="H135" s="42" t="e">
        <f t="shared" si="20"/>
        <v>#REF!</v>
      </c>
      <c r="I135" s="97" t="e">
        <f>_xlfn.XLOOKUP(B135,#REF!,#REF!)</f>
        <v>#REF!</v>
      </c>
      <c r="J135" s="22" t="e">
        <f t="shared" si="21"/>
        <v>#REF!</v>
      </c>
      <c r="K135" s="73" t="e">
        <f t="shared" si="22"/>
        <v>#REF!</v>
      </c>
      <c r="L135" s="58"/>
      <c r="M135" s="214"/>
      <c r="N135" s="214"/>
      <c r="O135" s="214"/>
      <c r="P135" s="214"/>
      <c r="Q135" s="214"/>
    </row>
    <row r="136" spans="1:17" ht="16" x14ac:dyDescent="0.2">
      <c r="A136" s="18">
        <v>21</v>
      </c>
      <c r="B136" s="18" t="s">
        <v>173</v>
      </c>
      <c r="C136" s="20" t="s">
        <v>250</v>
      </c>
      <c r="D136" s="9"/>
      <c r="E136" s="24" t="e">
        <f>_xlfn.XLOOKUP(C136,#REF!,#REF!)</f>
        <v>#REF!</v>
      </c>
      <c r="F136" s="18" t="e">
        <f>_xlfn.XLOOKUP(C136,#REF!,#REF!)</f>
        <v>#REF!</v>
      </c>
      <c r="G136" s="87">
        <v>2.7292E-2</v>
      </c>
      <c r="H136" s="42" t="e">
        <f t="shared" si="20"/>
        <v>#REF!</v>
      </c>
      <c r="I136" s="97" t="e">
        <f>_xlfn.XLOOKUP(B136,#REF!,#REF!)</f>
        <v>#REF!</v>
      </c>
      <c r="J136" s="22" t="e">
        <f t="shared" si="21"/>
        <v>#REF!</v>
      </c>
      <c r="K136" s="73" t="e">
        <f t="shared" si="22"/>
        <v>#REF!</v>
      </c>
      <c r="L136" s="58"/>
      <c r="M136" s="214"/>
      <c r="N136" s="214"/>
      <c r="O136" s="214"/>
      <c r="P136" s="214"/>
      <c r="Q136" s="214"/>
    </row>
    <row r="137" spans="1:17" ht="16" x14ac:dyDescent="0.2">
      <c r="A137" s="18">
        <v>22</v>
      </c>
      <c r="B137" s="18" t="s">
        <v>175</v>
      </c>
      <c r="C137" s="20" t="s">
        <v>251</v>
      </c>
      <c r="D137" s="9"/>
      <c r="E137" s="24" t="e">
        <f>_xlfn.XLOOKUP(C137,#REF!,#REF!)</f>
        <v>#REF!</v>
      </c>
      <c r="F137" s="18" t="e">
        <f>_xlfn.XLOOKUP(C137,#REF!,#REF!)</f>
        <v>#REF!</v>
      </c>
      <c r="G137" s="87">
        <v>3.7999999999999995E-5</v>
      </c>
      <c r="H137" s="42" t="e">
        <f t="shared" si="20"/>
        <v>#REF!</v>
      </c>
      <c r="I137" s="97" t="e">
        <f>_xlfn.XLOOKUP(B137,#REF!,#REF!)</f>
        <v>#REF!</v>
      </c>
      <c r="J137" s="22" t="e">
        <f t="shared" si="21"/>
        <v>#REF!</v>
      </c>
      <c r="K137" s="73" t="e">
        <f t="shared" si="22"/>
        <v>#REF!</v>
      </c>
      <c r="L137" s="58"/>
      <c r="M137" s="214"/>
      <c r="N137" s="214"/>
      <c r="O137" s="214"/>
      <c r="P137" s="214"/>
      <c r="Q137" s="214"/>
    </row>
    <row r="138" spans="1:17" ht="16" x14ac:dyDescent="0.2">
      <c r="A138" s="18">
        <v>23</v>
      </c>
      <c r="B138" s="18" t="s">
        <v>180</v>
      </c>
      <c r="C138" s="20" t="s">
        <v>252</v>
      </c>
      <c r="D138" s="9"/>
      <c r="E138" s="24" t="e">
        <f>_xlfn.XLOOKUP(C138,#REF!,#REF!)</f>
        <v>#REF!</v>
      </c>
      <c r="F138" s="18" t="e">
        <f>_xlfn.XLOOKUP(C138,#REF!,#REF!)</f>
        <v>#REF!</v>
      </c>
      <c r="G138" s="87">
        <v>3.9999999999999998E-6</v>
      </c>
      <c r="H138" s="42" t="e">
        <f t="shared" si="20"/>
        <v>#REF!</v>
      </c>
      <c r="I138" s="97" t="e">
        <f>_xlfn.XLOOKUP(B138,#REF!,#REF!)</f>
        <v>#REF!</v>
      </c>
      <c r="J138" s="22" t="e">
        <f t="shared" si="21"/>
        <v>#REF!</v>
      </c>
      <c r="K138" s="73" t="e">
        <f t="shared" si="22"/>
        <v>#REF!</v>
      </c>
      <c r="L138" s="58"/>
      <c r="M138" s="214"/>
      <c r="N138" s="214"/>
      <c r="O138" s="214"/>
      <c r="P138" s="214"/>
      <c r="Q138" s="214"/>
    </row>
    <row r="139" spans="1:17" ht="16" x14ac:dyDescent="0.2">
      <c r="A139" s="18">
        <v>24</v>
      </c>
      <c r="B139" s="18" t="s">
        <v>181</v>
      </c>
      <c r="C139" s="20" t="s">
        <v>253</v>
      </c>
      <c r="D139" s="9"/>
      <c r="E139" s="24" t="e">
        <f>_xlfn.XLOOKUP(C139,#REF!,#REF!)</f>
        <v>#REF!</v>
      </c>
      <c r="F139" s="18" t="e">
        <f>_xlfn.XLOOKUP(C139,#REF!,#REF!)</f>
        <v>#REF!</v>
      </c>
      <c r="G139" s="87">
        <v>3.9999999999999998E-6</v>
      </c>
      <c r="H139" s="42" t="e">
        <f t="shared" si="20"/>
        <v>#REF!</v>
      </c>
      <c r="I139" s="97" t="e">
        <f>_xlfn.XLOOKUP(B139,#REF!,#REF!)</f>
        <v>#REF!</v>
      </c>
      <c r="J139" s="22" t="e">
        <f t="shared" si="21"/>
        <v>#REF!</v>
      </c>
      <c r="K139" s="73" t="e">
        <f t="shared" si="22"/>
        <v>#REF!</v>
      </c>
      <c r="L139" s="58"/>
      <c r="M139" s="214"/>
      <c r="N139" s="214"/>
      <c r="O139" s="214"/>
      <c r="P139" s="214"/>
      <c r="Q139" s="214"/>
    </row>
    <row r="140" spans="1:17" ht="16" x14ac:dyDescent="0.2">
      <c r="A140" s="18">
        <v>25</v>
      </c>
      <c r="B140" s="18" t="s">
        <v>182</v>
      </c>
      <c r="C140" s="20" t="s">
        <v>254</v>
      </c>
      <c r="D140" s="9"/>
      <c r="E140" s="24" t="e">
        <f>_xlfn.XLOOKUP(C140,#REF!,#REF!)</f>
        <v>#REF!</v>
      </c>
      <c r="F140" s="18" t="e">
        <f>_xlfn.XLOOKUP(C140,#REF!,#REF!)</f>
        <v>#REF!</v>
      </c>
      <c r="G140" s="87">
        <v>1.9000000000000001E-5</v>
      </c>
      <c r="H140" s="42" t="e">
        <f t="shared" si="20"/>
        <v>#REF!</v>
      </c>
      <c r="I140" s="97" t="e">
        <f>_xlfn.XLOOKUP(B140,#REF!,#REF!)</f>
        <v>#REF!</v>
      </c>
      <c r="J140" s="22" t="e">
        <f t="shared" si="21"/>
        <v>#REF!</v>
      </c>
      <c r="K140" s="73" t="e">
        <f t="shared" si="22"/>
        <v>#REF!</v>
      </c>
      <c r="L140" s="58"/>
      <c r="M140" s="214"/>
      <c r="N140" s="214"/>
      <c r="O140" s="214"/>
      <c r="P140" s="214"/>
      <c r="Q140" s="214"/>
    </row>
    <row r="141" spans="1:17" ht="16" x14ac:dyDescent="0.2">
      <c r="A141" s="18">
        <v>26</v>
      </c>
      <c r="B141" s="18" t="s">
        <v>185</v>
      </c>
      <c r="C141" s="20" t="s">
        <v>255</v>
      </c>
      <c r="D141" s="9"/>
      <c r="E141" s="24" t="e">
        <f>_xlfn.XLOOKUP(C141,#REF!,#REF!)</f>
        <v>#REF!</v>
      </c>
      <c r="F141" s="18" t="e">
        <f>_xlfn.XLOOKUP(C141,#REF!,#REF!)</f>
        <v>#REF!</v>
      </c>
      <c r="G141" s="87">
        <v>1.9000000000000001E-5</v>
      </c>
      <c r="H141" s="42" t="e">
        <f t="shared" si="20"/>
        <v>#REF!</v>
      </c>
      <c r="I141" s="97" t="e">
        <f>_xlfn.XLOOKUP(B141,#REF!,#REF!)</f>
        <v>#REF!</v>
      </c>
      <c r="J141" s="22" t="e">
        <f t="shared" si="21"/>
        <v>#REF!</v>
      </c>
      <c r="K141" s="73" t="e">
        <f t="shared" si="22"/>
        <v>#REF!</v>
      </c>
      <c r="L141" s="58"/>
      <c r="M141" s="214"/>
      <c r="N141" s="214"/>
      <c r="O141" s="214"/>
      <c r="P141" s="214"/>
      <c r="Q141" s="214"/>
    </row>
    <row r="142" spans="1:17" ht="16" x14ac:dyDescent="0.2">
      <c r="A142" s="18">
        <v>27</v>
      </c>
      <c r="B142" s="18" t="s">
        <v>192</v>
      </c>
      <c r="C142" s="20" t="s">
        <v>256</v>
      </c>
      <c r="D142" s="9"/>
      <c r="E142" s="24" t="e">
        <f>_xlfn.XLOOKUP(C142,#REF!,#REF!)</f>
        <v>#REF!</v>
      </c>
      <c r="F142" s="18" t="e">
        <f>_xlfn.XLOOKUP(C142,#REF!,#REF!)</f>
        <v>#REF!</v>
      </c>
      <c r="G142" s="87">
        <v>1.0000000000000001E-5</v>
      </c>
      <c r="H142" s="42" t="e">
        <f t="shared" si="20"/>
        <v>#REF!</v>
      </c>
      <c r="I142" s="97" t="e">
        <f>_xlfn.XLOOKUP(B142,#REF!,#REF!)</f>
        <v>#REF!</v>
      </c>
      <c r="J142" s="22" t="e">
        <f t="shared" si="21"/>
        <v>#REF!</v>
      </c>
      <c r="K142" s="73" t="e">
        <f t="shared" si="22"/>
        <v>#REF!</v>
      </c>
      <c r="L142" s="58"/>
      <c r="M142" s="214"/>
      <c r="N142" s="214"/>
      <c r="O142" s="214"/>
      <c r="P142" s="214"/>
      <c r="Q142" s="214"/>
    </row>
    <row r="143" spans="1:17" ht="16" x14ac:dyDescent="0.2">
      <c r="A143" s="18">
        <v>28</v>
      </c>
      <c r="B143" s="18" t="s">
        <v>257</v>
      </c>
      <c r="C143" s="20" t="s">
        <v>258</v>
      </c>
      <c r="D143" s="9"/>
      <c r="E143" s="24" t="e">
        <f>_xlfn.XLOOKUP(C143,#REF!,#REF!)</f>
        <v>#REF!</v>
      </c>
      <c r="F143" s="18" t="e">
        <f>_xlfn.XLOOKUP(C143,#REF!,#REF!)</f>
        <v>#REF!</v>
      </c>
      <c r="G143" s="87">
        <v>3.7650000000000001E-3</v>
      </c>
      <c r="H143" s="42" t="e">
        <f t="shared" si="20"/>
        <v>#REF!</v>
      </c>
      <c r="I143" s="97"/>
      <c r="J143" s="22">
        <f t="shared" si="21"/>
        <v>0</v>
      </c>
      <c r="K143" s="73" t="e">
        <f t="shared" si="22"/>
        <v>#REF!</v>
      </c>
      <c r="L143" s="58"/>
      <c r="M143" s="214"/>
      <c r="N143" s="214"/>
      <c r="O143" s="214"/>
      <c r="P143" s="214"/>
      <c r="Q143" s="214"/>
    </row>
    <row r="144" spans="1:17" ht="16" x14ac:dyDescent="0.2">
      <c r="A144" s="18">
        <v>29</v>
      </c>
      <c r="B144" s="18" t="s">
        <v>199</v>
      </c>
      <c r="C144" s="20" t="s">
        <v>259</v>
      </c>
      <c r="D144" s="9"/>
      <c r="E144" s="24" t="e">
        <f>_xlfn.XLOOKUP(C144,#REF!,#REF!)</f>
        <v>#REF!</v>
      </c>
      <c r="F144" s="18" t="e">
        <f>_xlfn.XLOOKUP(C144,#REF!,#REF!)</f>
        <v>#REF!</v>
      </c>
      <c r="G144" s="87">
        <v>1.0000000000000001E-5</v>
      </c>
      <c r="H144" s="42" t="e">
        <f t="shared" si="20"/>
        <v>#REF!</v>
      </c>
      <c r="I144" s="97" t="e">
        <f>_xlfn.XLOOKUP(B144,#REF!,#REF!)</f>
        <v>#REF!</v>
      </c>
      <c r="J144" s="22" t="e">
        <f t="shared" si="21"/>
        <v>#REF!</v>
      </c>
      <c r="K144" s="73" t="e">
        <f t="shared" si="22"/>
        <v>#REF!</v>
      </c>
      <c r="L144" s="58"/>
      <c r="M144" s="214"/>
      <c r="N144" s="214"/>
      <c r="O144" s="214"/>
      <c r="P144" s="214"/>
      <c r="Q144" s="214"/>
    </row>
    <row r="145" spans="1:17" ht="16" x14ac:dyDescent="0.2">
      <c r="A145" s="18">
        <v>30</v>
      </c>
      <c r="B145" s="18" t="s">
        <v>165</v>
      </c>
      <c r="C145" s="20" t="s">
        <v>166</v>
      </c>
      <c r="D145" s="9"/>
      <c r="E145" s="24" t="e">
        <f>_xlfn.XLOOKUP(C145,#REF!,#REF!)</f>
        <v>#REF!</v>
      </c>
      <c r="F145" s="18" t="e">
        <f>_xlfn.XLOOKUP(C145,#REF!,#REF!)</f>
        <v>#REF!</v>
      </c>
      <c r="G145" s="87">
        <v>3.9999999999999998E-6</v>
      </c>
      <c r="H145" s="42" t="e">
        <f t="shared" si="20"/>
        <v>#REF!</v>
      </c>
      <c r="I145" s="97" t="e">
        <f>_xlfn.XLOOKUP(B145,#REF!,#REF!)</f>
        <v>#REF!</v>
      </c>
      <c r="J145" s="22" t="e">
        <f t="shared" si="21"/>
        <v>#REF!</v>
      </c>
      <c r="K145" s="73" t="e">
        <f t="shared" si="22"/>
        <v>#REF!</v>
      </c>
      <c r="L145" s="58"/>
      <c r="M145" s="214"/>
      <c r="N145" s="214"/>
      <c r="O145" s="214"/>
      <c r="P145" s="214"/>
      <c r="Q145" s="214"/>
    </row>
    <row r="146" spans="1:17" ht="16" x14ac:dyDescent="0.2">
      <c r="A146" s="18">
        <v>31</v>
      </c>
      <c r="B146" s="18" t="s">
        <v>178</v>
      </c>
      <c r="C146" s="20" t="s">
        <v>260</v>
      </c>
      <c r="D146" s="9"/>
      <c r="E146" s="24" t="e">
        <f>_xlfn.XLOOKUP(C146,#REF!,#REF!)</f>
        <v>#REF!</v>
      </c>
      <c r="F146" s="18" t="e">
        <f>_xlfn.XLOOKUP(C146,#REF!,#REF!)</f>
        <v>#REF!</v>
      </c>
      <c r="G146" s="87">
        <v>7.0680000000000005E-3</v>
      </c>
      <c r="H146" s="42" t="e">
        <f t="shared" si="20"/>
        <v>#REF!</v>
      </c>
      <c r="I146" s="97" t="e">
        <f>_xlfn.XLOOKUP(B146,#REF!,#REF!)</f>
        <v>#REF!</v>
      </c>
      <c r="J146" s="22" t="e">
        <f t="shared" si="21"/>
        <v>#REF!</v>
      </c>
      <c r="K146" s="73" t="e">
        <f t="shared" si="22"/>
        <v>#REF!</v>
      </c>
      <c r="L146" s="58"/>
      <c r="M146" s="214"/>
      <c r="N146" s="214"/>
      <c r="O146" s="214"/>
      <c r="P146" s="214"/>
      <c r="Q146" s="214"/>
    </row>
    <row r="147" spans="1:17" ht="16" x14ac:dyDescent="0.2">
      <c r="A147" s="18">
        <v>32</v>
      </c>
      <c r="B147" s="18" t="s">
        <v>129</v>
      </c>
      <c r="C147" s="20" t="s">
        <v>261</v>
      </c>
      <c r="D147" s="9"/>
      <c r="E147" s="24" t="e">
        <f>_xlfn.XLOOKUP(C147,#REF!,#REF!)</f>
        <v>#REF!</v>
      </c>
      <c r="F147" s="18" t="e">
        <f>_xlfn.XLOOKUP(C147,#REF!,#REF!)</f>
        <v>#REF!</v>
      </c>
      <c r="G147" s="87">
        <v>0.30297799999999997</v>
      </c>
      <c r="H147" s="42" t="e">
        <f t="shared" si="20"/>
        <v>#REF!</v>
      </c>
      <c r="I147" s="97" t="e">
        <f>_xlfn.XLOOKUP(B147,#REF!,#REF!)</f>
        <v>#REF!</v>
      </c>
      <c r="J147" s="22" t="e">
        <f t="shared" si="21"/>
        <v>#REF!</v>
      </c>
      <c r="K147" s="73" t="e">
        <f t="shared" si="22"/>
        <v>#REF!</v>
      </c>
      <c r="L147" s="58"/>
      <c r="M147" s="214"/>
      <c r="N147" s="214"/>
      <c r="O147" s="214"/>
      <c r="P147" s="214"/>
      <c r="Q147" s="214"/>
    </row>
    <row r="148" spans="1:17" ht="16" x14ac:dyDescent="0.2">
      <c r="A148" s="18">
        <v>33</v>
      </c>
      <c r="B148" s="18" t="s">
        <v>144</v>
      </c>
      <c r="C148" s="20" t="s">
        <v>145</v>
      </c>
      <c r="D148" s="9"/>
      <c r="E148" s="24" t="e">
        <f>_xlfn.XLOOKUP(C148,#REF!,#REF!)</f>
        <v>#REF!</v>
      </c>
      <c r="F148" s="18" t="e">
        <f>_xlfn.XLOOKUP(C148,#REF!,#REF!)</f>
        <v>#REF!</v>
      </c>
      <c r="G148" s="87">
        <v>2.2148000000000001E-2</v>
      </c>
      <c r="H148" s="42" t="e">
        <f t="shared" si="20"/>
        <v>#REF!</v>
      </c>
      <c r="I148" s="97" t="e">
        <f>_xlfn.XLOOKUP(B148,#REF!,#REF!)</f>
        <v>#REF!</v>
      </c>
      <c r="J148" s="22" t="e">
        <f t="shared" si="21"/>
        <v>#REF!</v>
      </c>
      <c r="K148" s="73" t="e">
        <f t="shared" si="22"/>
        <v>#REF!</v>
      </c>
      <c r="L148" s="58"/>
      <c r="M148" s="214"/>
      <c r="N148" s="214"/>
      <c r="O148" s="214"/>
      <c r="P148" s="214"/>
      <c r="Q148" s="214"/>
    </row>
    <row r="149" spans="1:17" ht="16" x14ac:dyDescent="0.2">
      <c r="A149" s="18">
        <v>34</v>
      </c>
      <c r="B149" s="18" t="s">
        <v>147</v>
      </c>
      <c r="C149" s="20" t="s">
        <v>262</v>
      </c>
      <c r="D149" s="9"/>
      <c r="E149" s="24" t="e">
        <f>_xlfn.XLOOKUP(C149,#REF!,#REF!)</f>
        <v>#REF!</v>
      </c>
      <c r="F149" s="18" t="e">
        <f>_xlfn.XLOOKUP(C149,#REF!,#REF!)</f>
        <v>#REF!</v>
      </c>
      <c r="G149" s="87">
        <v>2.9061000000000226E-2</v>
      </c>
      <c r="H149" s="42" t="e">
        <f t="shared" si="20"/>
        <v>#REF!</v>
      </c>
      <c r="I149" s="97" t="e">
        <f>_xlfn.XLOOKUP(B149,#REF!,#REF!)</f>
        <v>#REF!</v>
      </c>
      <c r="J149" s="22" t="e">
        <f t="shared" si="21"/>
        <v>#REF!</v>
      </c>
      <c r="K149" s="73" t="e">
        <f t="shared" si="22"/>
        <v>#REF!</v>
      </c>
      <c r="L149" s="58"/>
      <c r="M149" s="214"/>
      <c r="N149" s="214"/>
      <c r="O149" s="214"/>
      <c r="P149" s="214"/>
      <c r="Q149" s="214"/>
    </row>
    <row r="150" spans="1:17" ht="16" x14ac:dyDescent="0.2">
      <c r="A150" s="18">
        <v>35</v>
      </c>
      <c r="B150" s="18" t="s">
        <v>263</v>
      </c>
      <c r="C150" s="20" t="s">
        <v>264</v>
      </c>
      <c r="D150" s="9"/>
      <c r="E150" s="24" t="s">
        <v>118</v>
      </c>
      <c r="F150" s="18"/>
      <c r="G150" s="87">
        <v>1.9999999999999999E-6</v>
      </c>
      <c r="H150" s="42" t="e">
        <f t="shared" si="20"/>
        <v>#REF!</v>
      </c>
      <c r="I150" s="97"/>
      <c r="J150" s="22">
        <f t="shared" si="21"/>
        <v>0</v>
      </c>
      <c r="K150" s="73" t="e">
        <f t="shared" si="22"/>
        <v>#REF!</v>
      </c>
      <c r="L150" s="58"/>
      <c r="M150" s="214"/>
      <c r="N150" s="214"/>
      <c r="O150" s="214"/>
      <c r="P150" s="214"/>
      <c r="Q150" s="214"/>
    </row>
    <row r="151" spans="1:17" ht="16" x14ac:dyDescent="0.2">
      <c r="A151" s="18">
        <v>36</v>
      </c>
      <c r="B151" s="18" t="s">
        <v>149</v>
      </c>
      <c r="C151" s="20" t="s">
        <v>121</v>
      </c>
      <c r="D151" s="9"/>
      <c r="E151" s="24" t="e">
        <f>_xlfn.XLOOKUP(C151,#REF!,#REF!)</f>
        <v>#REF!</v>
      </c>
      <c r="F151" s="18" t="e">
        <f>_xlfn.XLOOKUP(C151,#REF!,#REF!)</f>
        <v>#REF!</v>
      </c>
      <c r="G151" s="87">
        <v>0.14476700000000001</v>
      </c>
      <c r="H151" s="42" t="e">
        <f t="shared" si="20"/>
        <v>#REF!</v>
      </c>
      <c r="I151" s="97" t="e">
        <f>_xlfn.XLOOKUP(B151,#REF!,#REF!)</f>
        <v>#REF!</v>
      </c>
      <c r="J151" s="22" t="e">
        <f t="shared" si="21"/>
        <v>#REF!</v>
      </c>
      <c r="K151" s="73" t="e">
        <f t="shared" si="22"/>
        <v>#REF!</v>
      </c>
      <c r="L151" s="58"/>
      <c r="M151" s="214"/>
      <c r="N151" s="214"/>
      <c r="O151" s="214"/>
      <c r="P151" s="214"/>
      <c r="Q151" s="214"/>
    </row>
    <row r="152" spans="1:17" ht="16" x14ac:dyDescent="0.2">
      <c r="A152" s="18">
        <v>37</v>
      </c>
      <c r="B152" s="18" t="s">
        <v>163</v>
      </c>
      <c r="C152" s="20" t="s">
        <v>122</v>
      </c>
      <c r="D152" s="9"/>
      <c r="E152" s="24" t="e">
        <f>_xlfn.XLOOKUP(C152,#REF!,#REF!)</f>
        <v>#REF!</v>
      </c>
      <c r="F152" s="18" t="e">
        <f>_xlfn.XLOOKUP(C152,#REF!,#REF!)</f>
        <v>#REF!</v>
      </c>
      <c r="G152" s="87">
        <v>0.115373</v>
      </c>
      <c r="H152" s="42" t="e">
        <f t="shared" si="20"/>
        <v>#REF!</v>
      </c>
      <c r="I152" s="97" t="e">
        <f>_xlfn.XLOOKUP(B152,#REF!,#REF!)</f>
        <v>#REF!</v>
      </c>
      <c r="J152" s="22" t="e">
        <f t="shared" si="21"/>
        <v>#REF!</v>
      </c>
      <c r="K152" s="73" t="e">
        <f t="shared" si="22"/>
        <v>#REF!</v>
      </c>
      <c r="L152" s="58"/>
      <c r="M152" s="214"/>
      <c r="N152" s="214"/>
      <c r="O152" s="214"/>
      <c r="P152" s="214"/>
      <c r="Q152" s="214"/>
    </row>
    <row r="153" spans="1:17" ht="16" x14ac:dyDescent="0.2">
      <c r="A153" s="18">
        <v>38</v>
      </c>
      <c r="B153" s="18" t="s">
        <v>205</v>
      </c>
      <c r="C153" s="20" t="s">
        <v>102</v>
      </c>
      <c r="D153" s="9"/>
      <c r="E153" s="24" t="s">
        <v>53</v>
      </c>
      <c r="F153" s="18" t="e">
        <f>_xlfn.XLOOKUP(C153,#REF!,#REF!)</f>
        <v>#REF!</v>
      </c>
      <c r="G153" s="87">
        <v>2.265E-2</v>
      </c>
      <c r="H153" s="42" t="e">
        <f t="shared" si="20"/>
        <v>#REF!</v>
      </c>
      <c r="I153" s="97" t="e">
        <f>_xlfn.XLOOKUP(B153,#REF!,#REF!)</f>
        <v>#REF!</v>
      </c>
      <c r="J153" s="22" t="e">
        <f t="shared" si="21"/>
        <v>#REF!</v>
      </c>
      <c r="K153" s="73" t="e">
        <f t="shared" si="22"/>
        <v>#REF!</v>
      </c>
      <c r="L153" s="58"/>
      <c r="M153" s="214"/>
      <c r="N153" s="214"/>
      <c r="O153" s="214"/>
      <c r="P153" s="214"/>
      <c r="Q153" s="214"/>
    </row>
    <row r="154" spans="1:17" ht="16" x14ac:dyDescent="0.2">
      <c r="A154" s="18">
        <v>39</v>
      </c>
      <c r="B154" s="18" t="s">
        <v>206</v>
      </c>
      <c r="C154" s="20" t="s">
        <v>207</v>
      </c>
      <c r="D154" s="9"/>
      <c r="E154" s="24" t="s">
        <v>53</v>
      </c>
      <c r="F154" s="18" t="e">
        <f>_xlfn.XLOOKUP(C154,#REF!,#REF!)</f>
        <v>#REF!</v>
      </c>
      <c r="G154" s="87">
        <v>1.1968999999999999E-2</v>
      </c>
      <c r="H154" s="42" t="e">
        <f t="shared" si="20"/>
        <v>#REF!</v>
      </c>
      <c r="I154" s="97" t="e">
        <f>_xlfn.XLOOKUP(B154,#REF!,#REF!)</f>
        <v>#REF!</v>
      </c>
      <c r="J154" s="22" t="e">
        <f t="shared" si="21"/>
        <v>#REF!</v>
      </c>
      <c r="K154" s="73" t="e">
        <f t="shared" si="22"/>
        <v>#REF!</v>
      </c>
      <c r="L154" s="58"/>
      <c r="M154" s="214"/>
      <c r="N154" s="214"/>
      <c r="O154" s="214"/>
      <c r="P154" s="214"/>
      <c r="Q154" s="214"/>
    </row>
    <row r="155" spans="1:17" ht="16" x14ac:dyDescent="0.2">
      <c r="A155" s="18">
        <v>40</v>
      </c>
      <c r="B155" s="18" t="s">
        <v>263</v>
      </c>
      <c r="C155" s="20" t="s">
        <v>265</v>
      </c>
      <c r="D155" s="9"/>
      <c r="E155" s="24" t="s">
        <v>53</v>
      </c>
      <c r="F155" s="18"/>
      <c r="G155" s="87">
        <v>1.9999999999999999E-6</v>
      </c>
      <c r="H155" s="42" t="e">
        <f t="shared" si="20"/>
        <v>#REF!</v>
      </c>
      <c r="I155" s="97"/>
      <c r="J155" s="22">
        <f t="shared" si="21"/>
        <v>0</v>
      </c>
      <c r="K155" s="73" t="e">
        <f t="shared" si="22"/>
        <v>#REF!</v>
      </c>
      <c r="L155" s="58"/>
      <c r="M155" s="214"/>
      <c r="N155" s="214"/>
      <c r="O155" s="214"/>
      <c r="P155" s="214"/>
      <c r="Q155" s="214"/>
    </row>
    <row r="156" spans="1:17" ht="16" x14ac:dyDescent="0.2">
      <c r="A156" s="18">
        <v>41</v>
      </c>
      <c r="B156" s="101" t="str">
        <f>E105</f>
        <v>GEN-FBL-00150</v>
      </c>
      <c r="C156" s="102" t="str">
        <f>E106</f>
        <v>FBL_NBS 25% PG_R00</v>
      </c>
      <c r="D156" s="103"/>
      <c r="E156" s="104" t="s">
        <v>53</v>
      </c>
      <c r="F156" s="101"/>
      <c r="G156" s="105">
        <v>0.11293</v>
      </c>
      <c r="H156" s="106" t="e">
        <f t="shared" si="20"/>
        <v>#REF!</v>
      </c>
      <c r="I156" s="107" t="e">
        <f>J110</f>
        <v>#REF!</v>
      </c>
      <c r="J156" s="107" t="e">
        <f t="shared" si="21"/>
        <v>#REF!</v>
      </c>
      <c r="K156" s="108" t="e">
        <f t="shared" si="22"/>
        <v>#REF!</v>
      </c>
      <c r="L156" s="58"/>
      <c r="M156" s="214"/>
      <c r="N156" s="214"/>
      <c r="O156" s="214"/>
      <c r="P156" s="214"/>
      <c r="Q156" s="214"/>
    </row>
    <row r="157" spans="1:17" ht="16" x14ac:dyDescent="0.2">
      <c r="A157" s="18">
        <v>42</v>
      </c>
      <c r="B157" s="18" t="s">
        <v>141</v>
      </c>
      <c r="C157" s="20" t="s">
        <v>142</v>
      </c>
      <c r="D157" s="9"/>
      <c r="E157" s="24" t="e">
        <f>_xlfn.XLOOKUP(C157,#REF!,#REF!)</f>
        <v>#REF!</v>
      </c>
      <c r="F157" s="18" t="e">
        <f>_xlfn.XLOOKUP(C157,#REF!,#REF!)</f>
        <v>#REF!</v>
      </c>
      <c r="G157" s="87">
        <v>7.5287000000000007E-2</v>
      </c>
      <c r="H157" s="42" t="e">
        <f t="shared" si="20"/>
        <v>#REF!</v>
      </c>
      <c r="I157" s="97" t="e">
        <f>_xlfn.XLOOKUP(B157,#REF!,#REF!)</f>
        <v>#REF!</v>
      </c>
      <c r="J157" s="22" t="e">
        <f t="shared" si="21"/>
        <v>#REF!</v>
      </c>
      <c r="K157" s="73" t="e">
        <f t="shared" si="22"/>
        <v>#REF!</v>
      </c>
      <c r="L157" s="58"/>
      <c r="M157" s="214"/>
      <c r="N157" s="214"/>
      <c r="O157" s="214"/>
      <c r="P157" s="214"/>
      <c r="Q157" s="214"/>
    </row>
    <row r="158" spans="1:17" ht="16" x14ac:dyDescent="0.2">
      <c r="A158" s="18">
        <v>43</v>
      </c>
      <c r="B158" s="18" t="s">
        <v>201</v>
      </c>
      <c r="C158" s="20" t="s">
        <v>202</v>
      </c>
      <c r="D158" s="9"/>
      <c r="E158" s="24" t="e">
        <f>_xlfn.XLOOKUP(C158,#REF!,#REF!)</f>
        <v>#REF!</v>
      </c>
      <c r="F158" s="18" t="e">
        <f>_xlfn.XLOOKUP(C158,#REF!,#REF!)</f>
        <v>#REF!</v>
      </c>
      <c r="G158" s="87">
        <v>1.3000000000000001E-5</v>
      </c>
      <c r="H158" s="42" t="e">
        <f t="shared" si="20"/>
        <v>#REF!</v>
      </c>
      <c r="I158" s="97" t="e">
        <f>_xlfn.XLOOKUP(B158,#REF!,#REF!)</f>
        <v>#REF!</v>
      </c>
      <c r="J158" s="22" t="e">
        <f t="shared" si="21"/>
        <v>#REF!</v>
      </c>
      <c r="K158" s="73" t="e">
        <f t="shared" si="22"/>
        <v>#REF!</v>
      </c>
      <c r="L158" s="58"/>
      <c r="M158" s="214"/>
      <c r="N158" s="214"/>
      <c r="O158" s="214"/>
      <c r="P158" s="214"/>
      <c r="Q158" s="214"/>
    </row>
    <row r="159" spans="1:17" x14ac:dyDescent="0.2">
      <c r="A159" s="209" t="s">
        <v>64</v>
      </c>
      <c r="B159" s="210"/>
      <c r="C159" s="210"/>
      <c r="D159" s="210"/>
      <c r="E159" s="210"/>
      <c r="F159" s="211"/>
      <c r="G159" s="88">
        <f>SUM(G116:G158)</f>
        <v>1</v>
      </c>
      <c r="H159" s="59" t="e">
        <f>SUM(H116:H158)</f>
        <v>#REF!</v>
      </c>
      <c r="I159" s="37"/>
      <c r="J159" s="37" t="e">
        <f>SUM(J116:J158)</f>
        <v>#REF!</v>
      </c>
      <c r="K159" s="38"/>
      <c r="L159" s="38"/>
      <c r="M159" s="109"/>
      <c r="N159" s="109"/>
      <c r="O159" s="109"/>
      <c r="P159" s="109"/>
      <c r="Q159" s="109"/>
    </row>
    <row r="162" spans="1:17" x14ac:dyDescent="0.2">
      <c r="A162" s="147" t="s">
        <v>98</v>
      </c>
      <c r="B162" s="148"/>
      <c r="C162" s="148"/>
      <c r="D162" s="148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9"/>
    </row>
    <row r="163" spans="1:17" x14ac:dyDescent="0.2">
      <c r="A163" s="142" t="s">
        <v>99</v>
      </c>
      <c r="B163" s="143"/>
      <c r="C163" s="143"/>
      <c r="D163" s="144"/>
      <c r="E163" s="201" t="s">
        <v>228</v>
      </c>
      <c r="F163" s="202"/>
      <c r="G163" s="202"/>
      <c r="H163" s="202"/>
      <c r="I163" s="202"/>
      <c r="J163" s="202"/>
      <c r="K163" s="202"/>
      <c r="L163" s="202"/>
      <c r="M163" s="202"/>
      <c r="N163" s="202"/>
      <c r="O163" s="202"/>
      <c r="P163" s="202"/>
      <c r="Q163" s="203"/>
    </row>
    <row r="164" spans="1:17" x14ac:dyDescent="0.2">
      <c r="A164" s="142" t="s">
        <v>100</v>
      </c>
      <c r="B164" s="143"/>
      <c r="C164" s="143"/>
      <c r="D164" s="144"/>
      <c r="E164" s="201" t="s">
        <v>218</v>
      </c>
      <c r="F164" s="202"/>
      <c r="G164" s="202"/>
      <c r="H164" s="202"/>
      <c r="I164" s="202"/>
      <c r="J164" s="202"/>
      <c r="K164" s="202"/>
      <c r="L164" s="202"/>
      <c r="M164" s="202"/>
      <c r="N164" s="202"/>
      <c r="O164" s="202"/>
      <c r="P164" s="202"/>
      <c r="Q164" s="203"/>
    </row>
    <row r="165" spans="1:17" ht="48" x14ac:dyDescent="0.2">
      <c r="A165" s="14" t="s">
        <v>35</v>
      </c>
      <c r="B165" s="14" t="s">
        <v>36</v>
      </c>
      <c r="C165" s="126" t="s">
        <v>37</v>
      </c>
      <c r="D165" s="127"/>
      <c r="E165" s="15" t="s">
        <v>70</v>
      </c>
      <c r="F165" s="14" t="s">
        <v>39</v>
      </c>
      <c r="G165" s="14" t="s">
        <v>40</v>
      </c>
      <c r="H165" s="14" t="s">
        <v>41</v>
      </c>
      <c r="I165" s="16" t="s">
        <v>42</v>
      </c>
      <c r="J165" s="16" t="s">
        <v>43</v>
      </c>
      <c r="K165" s="14" t="s">
        <v>44</v>
      </c>
      <c r="L165" s="14" t="s">
        <v>45</v>
      </c>
      <c r="M165" s="14" t="s">
        <v>46</v>
      </c>
      <c r="N165" s="14" t="s">
        <v>47</v>
      </c>
      <c r="O165" s="14" t="s">
        <v>48</v>
      </c>
      <c r="P165" s="14" t="s">
        <v>49</v>
      </c>
      <c r="Q165" s="14" t="s">
        <v>50</v>
      </c>
    </row>
    <row r="166" spans="1:17" ht="16" x14ac:dyDescent="0.2">
      <c r="A166" s="18">
        <v>1</v>
      </c>
      <c r="B166" s="18" t="e">
        <f>_xlfn.XLOOKUP(C166,#REF!,#REF!)</f>
        <v>#REF!</v>
      </c>
      <c r="C166" s="20" t="s">
        <v>59</v>
      </c>
      <c r="D166" s="9"/>
      <c r="E166" s="24" t="e">
        <f>_xlfn.XLOOKUP(C166,#REF!,#REF!)</f>
        <v>#REF!</v>
      </c>
      <c r="F166" s="18" t="e">
        <f>_xlfn.XLOOKUP(C166,#REF!,#REF!)</f>
        <v>#REF!</v>
      </c>
      <c r="G166" s="87">
        <v>0.28999999999999998</v>
      </c>
      <c r="H166" s="42" t="e">
        <f>G166*$H$81</f>
        <v>#REF!</v>
      </c>
      <c r="I166" s="97" t="e">
        <f>_xlfn.XLOOKUP(B166,#REF!,#REF!)</f>
        <v>#REF!</v>
      </c>
      <c r="J166" s="22" t="e">
        <f t="shared" ref="J166" si="23">G166*I166</f>
        <v>#REF!</v>
      </c>
      <c r="K166" s="73" t="e">
        <f t="shared" ref="K166" si="24">H166*$J$18/1000000</f>
        <v>#REF!</v>
      </c>
      <c r="L166" s="18"/>
      <c r="M166" s="215">
        <v>1</v>
      </c>
      <c r="N166" s="215" t="s">
        <v>54</v>
      </c>
      <c r="O166" s="215" t="s">
        <v>55</v>
      </c>
      <c r="P166" s="215" t="s">
        <v>62</v>
      </c>
      <c r="Q166" s="214" t="s">
        <v>73</v>
      </c>
    </row>
    <row r="167" spans="1:17" ht="16" x14ac:dyDescent="0.2">
      <c r="A167" s="18">
        <v>2</v>
      </c>
      <c r="B167" s="18" t="e">
        <f>_xlfn.XLOOKUP(C167,#REF!,#REF!)</f>
        <v>#REF!</v>
      </c>
      <c r="C167" s="20" t="s">
        <v>117</v>
      </c>
      <c r="D167" s="9"/>
      <c r="E167" s="24" t="e">
        <f>_xlfn.XLOOKUP(C167,#REF!,#REF!)</f>
        <v>#REF!</v>
      </c>
      <c r="F167" s="18" t="e">
        <f>_xlfn.XLOOKUP(C167,#REF!,#REF!)</f>
        <v>#REF!</v>
      </c>
      <c r="G167" s="87">
        <v>2.5000000000000001E-2</v>
      </c>
      <c r="H167" s="42" t="e">
        <f t="shared" ref="H167:H177" si="25">G167*$H$81</f>
        <v>#REF!</v>
      </c>
      <c r="I167" s="97" t="e">
        <f>_xlfn.XLOOKUP(B167,#REF!,#REF!)</f>
        <v>#REF!</v>
      </c>
      <c r="J167" s="22" t="e">
        <f t="shared" ref="J167:J177" si="26">G167*I167</f>
        <v>#REF!</v>
      </c>
      <c r="K167" s="73" t="e">
        <f t="shared" ref="K167:K177" si="27">H167*$J$18/1000000</f>
        <v>#REF!</v>
      </c>
      <c r="L167" s="18"/>
      <c r="M167" s="215"/>
      <c r="N167" s="215"/>
      <c r="O167" s="215"/>
      <c r="P167" s="215"/>
      <c r="Q167" s="214"/>
    </row>
    <row r="168" spans="1:17" ht="16" x14ac:dyDescent="0.2">
      <c r="A168" s="18">
        <v>3</v>
      </c>
      <c r="B168" s="18" t="e">
        <f>_xlfn.XLOOKUP(C168,#REF!,#REF!)</f>
        <v>#REF!</v>
      </c>
      <c r="C168" s="20" t="s">
        <v>179</v>
      </c>
      <c r="D168" s="9"/>
      <c r="E168" s="24" t="e">
        <f>_xlfn.XLOOKUP(C168,#REF!,#REF!)</f>
        <v>#REF!</v>
      </c>
      <c r="F168" s="18" t="e">
        <f>_xlfn.XLOOKUP(C168,#REF!,#REF!)</f>
        <v>#REF!</v>
      </c>
      <c r="G168" s="87">
        <v>0.05</v>
      </c>
      <c r="H168" s="42" t="e">
        <f t="shared" si="25"/>
        <v>#REF!</v>
      </c>
      <c r="I168" s="97" t="e">
        <f>_xlfn.XLOOKUP(B168,#REF!,#REF!)</f>
        <v>#REF!</v>
      </c>
      <c r="J168" s="22" t="e">
        <f t="shared" si="26"/>
        <v>#REF!</v>
      </c>
      <c r="K168" s="73" t="e">
        <f t="shared" si="27"/>
        <v>#REF!</v>
      </c>
      <c r="L168" s="18"/>
      <c r="M168" s="215">
        <v>2</v>
      </c>
      <c r="N168" s="215" t="s">
        <v>54</v>
      </c>
      <c r="O168" s="215"/>
      <c r="P168" s="215"/>
      <c r="Q168" s="214"/>
    </row>
    <row r="169" spans="1:17" ht="16" x14ac:dyDescent="0.2">
      <c r="A169" s="18">
        <v>4</v>
      </c>
      <c r="B169" s="18" t="e">
        <f>_xlfn.XLOOKUP(C169,#REF!,#REF!)</f>
        <v>#REF!</v>
      </c>
      <c r="C169" s="20" t="s">
        <v>200</v>
      </c>
      <c r="D169" s="9"/>
      <c r="E169" s="24" t="e">
        <f>_xlfn.XLOOKUP(C169,#REF!,#REF!)</f>
        <v>#REF!</v>
      </c>
      <c r="F169" s="18" t="e">
        <f>_xlfn.XLOOKUP(C169,#REF!,#REF!)</f>
        <v>#REF!</v>
      </c>
      <c r="G169" s="87">
        <v>5.0000000000000001E-3</v>
      </c>
      <c r="H169" s="42" t="e">
        <f t="shared" si="25"/>
        <v>#REF!</v>
      </c>
      <c r="I169" s="97" t="e">
        <f>_xlfn.XLOOKUP(B169,#REF!,#REF!)</f>
        <v>#REF!</v>
      </c>
      <c r="J169" s="22" t="e">
        <f t="shared" si="26"/>
        <v>#REF!</v>
      </c>
      <c r="K169" s="73" t="e">
        <f t="shared" si="27"/>
        <v>#REF!</v>
      </c>
      <c r="L169" s="18"/>
      <c r="M169" s="215"/>
      <c r="N169" s="215"/>
      <c r="O169" s="215"/>
      <c r="P169" s="215"/>
      <c r="Q169" s="214"/>
    </row>
    <row r="170" spans="1:17" ht="16" x14ac:dyDescent="0.2">
      <c r="A170" s="18">
        <v>5</v>
      </c>
      <c r="B170" s="18" t="e">
        <f>_xlfn.XLOOKUP(C170,#REF!,#REF!)</f>
        <v>#REF!</v>
      </c>
      <c r="C170" s="20" t="s">
        <v>120</v>
      </c>
      <c r="D170" s="9"/>
      <c r="E170" s="24" t="e">
        <f>_xlfn.XLOOKUP(C170,#REF!,#REF!)</f>
        <v>#REF!</v>
      </c>
      <c r="F170" s="18" t="e">
        <f>_xlfn.XLOOKUP(C170,#REF!,#REF!)</f>
        <v>#REF!</v>
      </c>
      <c r="G170" s="87">
        <v>0.2</v>
      </c>
      <c r="H170" s="42" t="e">
        <f t="shared" si="25"/>
        <v>#REF!</v>
      </c>
      <c r="I170" s="97" t="e">
        <f>_xlfn.XLOOKUP(B170,#REF!,#REF!)</f>
        <v>#REF!</v>
      </c>
      <c r="J170" s="22" t="e">
        <f t="shared" si="26"/>
        <v>#REF!</v>
      </c>
      <c r="K170" s="73" t="e">
        <f t="shared" si="27"/>
        <v>#REF!</v>
      </c>
      <c r="L170" s="18"/>
      <c r="M170" s="215"/>
      <c r="N170" s="215"/>
      <c r="O170" s="215"/>
      <c r="P170" s="215"/>
      <c r="Q170" s="214"/>
    </row>
    <row r="171" spans="1:17" ht="16" x14ac:dyDescent="0.2">
      <c r="A171" s="18">
        <v>6</v>
      </c>
      <c r="B171" s="18" t="e">
        <f>_xlfn.XLOOKUP(C171,#REF!,#REF!)</f>
        <v>#REF!</v>
      </c>
      <c r="C171" s="20" t="s">
        <v>112</v>
      </c>
      <c r="D171" s="9"/>
      <c r="E171" s="24" t="e">
        <f>_xlfn.XLOOKUP(C171,#REF!,#REF!)</f>
        <v>#REF!</v>
      </c>
      <c r="F171" s="18" t="e">
        <f>_xlfn.XLOOKUP(C171,#REF!,#REF!)</f>
        <v>#REF!</v>
      </c>
      <c r="G171" s="87">
        <v>0.15</v>
      </c>
      <c r="H171" s="42" t="e">
        <f t="shared" si="25"/>
        <v>#REF!</v>
      </c>
      <c r="I171" s="97" t="e">
        <f>_xlfn.XLOOKUP(B171,#REF!,#REF!)</f>
        <v>#REF!</v>
      </c>
      <c r="J171" s="22" t="e">
        <f t="shared" si="26"/>
        <v>#REF!</v>
      </c>
      <c r="K171" s="73" t="e">
        <f t="shared" si="27"/>
        <v>#REF!</v>
      </c>
      <c r="L171" s="18"/>
      <c r="M171" s="215"/>
      <c r="N171" s="215"/>
      <c r="O171" s="215"/>
      <c r="P171" s="215"/>
      <c r="Q171" s="214"/>
    </row>
    <row r="172" spans="1:17" ht="16" x14ac:dyDescent="0.2">
      <c r="A172" s="18">
        <v>7</v>
      </c>
      <c r="B172" s="18" t="e">
        <f>_xlfn.XLOOKUP(C172,#REF!,#REF!)</f>
        <v>#REF!</v>
      </c>
      <c r="C172" s="20" t="s">
        <v>130</v>
      </c>
      <c r="D172" s="9"/>
      <c r="E172" s="24" t="e">
        <f>_xlfn.XLOOKUP(C172,#REF!,#REF!)</f>
        <v>#REF!</v>
      </c>
      <c r="F172" s="18" t="e">
        <f>_xlfn.XLOOKUP(C172,#REF!,#REF!)</f>
        <v>#REF!</v>
      </c>
      <c r="G172" s="87">
        <v>0.01</v>
      </c>
      <c r="H172" s="42" t="e">
        <f t="shared" si="25"/>
        <v>#REF!</v>
      </c>
      <c r="I172" s="97" t="e">
        <f>_xlfn.XLOOKUP(B172,#REF!,#REF!)</f>
        <v>#REF!</v>
      </c>
      <c r="J172" s="22" t="e">
        <f t="shared" si="26"/>
        <v>#REF!</v>
      </c>
      <c r="K172" s="73" t="e">
        <f t="shared" si="27"/>
        <v>#REF!</v>
      </c>
      <c r="L172" s="18"/>
      <c r="M172" s="215"/>
      <c r="N172" s="215"/>
      <c r="O172" s="215"/>
      <c r="P172" s="215"/>
      <c r="Q172" s="214"/>
    </row>
    <row r="173" spans="1:17" ht="16" x14ac:dyDescent="0.2">
      <c r="A173" s="18">
        <v>8</v>
      </c>
      <c r="B173" s="18" t="e">
        <f>_xlfn.XLOOKUP(C173,#REF!,#REF!)</f>
        <v>#REF!</v>
      </c>
      <c r="C173" s="20" t="s">
        <v>174</v>
      </c>
      <c r="D173" s="9"/>
      <c r="E173" s="24" t="e">
        <f>_xlfn.XLOOKUP(C173,#REF!,#REF!)</f>
        <v>#REF!</v>
      </c>
      <c r="F173" s="18" t="e">
        <f>_xlfn.XLOOKUP(C173,#REF!,#REF!)</f>
        <v>#REF!</v>
      </c>
      <c r="G173" s="87">
        <v>3.5000000000000003E-2</v>
      </c>
      <c r="H173" s="42" t="e">
        <f t="shared" si="25"/>
        <v>#REF!</v>
      </c>
      <c r="I173" s="97" t="e">
        <f>_xlfn.XLOOKUP(B173,#REF!,#REF!)</f>
        <v>#REF!</v>
      </c>
      <c r="J173" s="22" t="e">
        <f t="shared" si="26"/>
        <v>#REF!</v>
      </c>
      <c r="K173" s="73" t="e">
        <f t="shared" si="27"/>
        <v>#REF!</v>
      </c>
      <c r="L173" s="18"/>
      <c r="M173" s="215"/>
      <c r="N173" s="215"/>
      <c r="O173" s="215"/>
      <c r="P173" s="215"/>
      <c r="Q173" s="214"/>
    </row>
    <row r="174" spans="1:17" ht="16" x14ac:dyDescent="0.2">
      <c r="A174" s="18">
        <v>9</v>
      </c>
      <c r="B174" s="18" t="e">
        <f>_xlfn.XLOOKUP(C174,#REF!,#REF!)</f>
        <v>#REF!</v>
      </c>
      <c r="C174" s="20" t="s">
        <v>189</v>
      </c>
      <c r="D174" s="9"/>
      <c r="E174" s="24" t="e">
        <f>_xlfn.XLOOKUP(C174,#REF!,#REF!)</f>
        <v>#REF!</v>
      </c>
      <c r="F174" s="18" t="e">
        <f>_xlfn.XLOOKUP(C174,#REF!,#REF!)</f>
        <v>#REF!</v>
      </c>
      <c r="G174" s="87">
        <v>0.05</v>
      </c>
      <c r="H174" s="42" t="e">
        <f t="shared" si="25"/>
        <v>#REF!</v>
      </c>
      <c r="I174" s="97" t="e">
        <f>_xlfn.XLOOKUP(B174,#REF!,#REF!)</f>
        <v>#REF!</v>
      </c>
      <c r="J174" s="22" t="e">
        <f t="shared" si="26"/>
        <v>#REF!</v>
      </c>
      <c r="K174" s="73" t="e">
        <f t="shared" si="27"/>
        <v>#REF!</v>
      </c>
      <c r="L174" s="18"/>
      <c r="M174" s="215"/>
      <c r="N174" s="215"/>
      <c r="O174" s="215"/>
      <c r="P174" s="215"/>
      <c r="Q174" s="214"/>
    </row>
    <row r="175" spans="1:17" ht="16" x14ac:dyDescent="0.2">
      <c r="A175" s="18">
        <v>10</v>
      </c>
      <c r="B175" s="18" t="e">
        <f>_xlfn.XLOOKUP(C175,#REF!,#REF!)</f>
        <v>#REF!</v>
      </c>
      <c r="C175" s="20" t="s">
        <v>111</v>
      </c>
      <c r="D175" s="9"/>
      <c r="E175" s="24" t="e">
        <f>_xlfn.XLOOKUP(C175,#REF!,#REF!)</f>
        <v>#REF!</v>
      </c>
      <c r="F175" s="18" t="e">
        <f>_xlfn.XLOOKUP(C175,#REF!,#REF!)</f>
        <v>#REF!</v>
      </c>
      <c r="G175" s="87">
        <v>0.12</v>
      </c>
      <c r="H175" s="42" t="e">
        <f t="shared" si="25"/>
        <v>#REF!</v>
      </c>
      <c r="I175" s="97" t="e">
        <f>_xlfn.XLOOKUP(B175,#REF!,#REF!)</f>
        <v>#REF!</v>
      </c>
      <c r="J175" s="22" t="e">
        <f t="shared" si="26"/>
        <v>#REF!</v>
      </c>
      <c r="K175" s="73" t="e">
        <f t="shared" si="27"/>
        <v>#REF!</v>
      </c>
      <c r="L175" s="18"/>
      <c r="M175" s="215"/>
      <c r="N175" s="215"/>
      <c r="O175" s="215"/>
      <c r="P175" s="215"/>
      <c r="Q175" s="214"/>
    </row>
    <row r="176" spans="1:17" ht="16" x14ac:dyDescent="0.2">
      <c r="A176" s="18">
        <v>11</v>
      </c>
      <c r="B176" s="18" t="e">
        <f>_xlfn.XLOOKUP(C176,#REF!,#REF!)</f>
        <v>#REF!</v>
      </c>
      <c r="C176" s="20" t="s">
        <v>157</v>
      </c>
      <c r="D176" s="9"/>
      <c r="E176" s="24" t="e">
        <f>_xlfn.XLOOKUP(C176,#REF!,#REF!)</f>
        <v>#REF!</v>
      </c>
      <c r="F176" s="18" t="e">
        <f>_xlfn.XLOOKUP(C176,#REF!,#REF!)</f>
        <v>#REF!</v>
      </c>
      <c r="G176" s="87">
        <v>0.05</v>
      </c>
      <c r="H176" s="42" t="e">
        <f t="shared" si="25"/>
        <v>#REF!</v>
      </c>
      <c r="I176" s="97" t="e">
        <f>_xlfn.XLOOKUP(B176,#REF!,#REF!)</f>
        <v>#REF!</v>
      </c>
      <c r="J176" s="22" t="e">
        <f t="shared" si="26"/>
        <v>#REF!</v>
      </c>
      <c r="K176" s="73" t="e">
        <f t="shared" si="27"/>
        <v>#REF!</v>
      </c>
      <c r="L176" s="18"/>
      <c r="M176" s="215"/>
      <c r="N176" s="215"/>
      <c r="O176" s="215"/>
      <c r="P176" s="215"/>
      <c r="Q176" s="214"/>
    </row>
    <row r="177" spans="1:17" ht="16" x14ac:dyDescent="0.2">
      <c r="A177" s="18">
        <v>12</v>
      </c>
      <c r="B177" s="18" t="e">
        <f>_xlfn.XLOOKUP(C177,#REF!,#REF!)</f>
        <v>#REF!</v>
      </c>
      <c r="C177" s="20" t="s">
        <v>139</v>
      </c>
      <c r="D177" s="9"/>
      <c r="E177" s="24" t="e">
        <f>_xlfn.XLOOKUP(C177,#REF!,#REF!)</f>
        <v>#REF!</v>
      </c>
      <c r="F177" s="18" t="e">
        <f>_xlfn.XLOOKUP(C177,#REF!,#REF!)</f>
        <v>#REF!</v>
      </c>
      <c r="G177" s="87">
        <v>1.4999999999999999E-2</v>
      </c>
      <c r="H177" s="42" t="e">
        <f t="shared" si="25"/>
        <v>#REF!</v>
      </c>
      <c r="I177" s="97" t="e">
        <f>_xlfn.XLOOKUP(B177,#REF!,#REF!)</f>
        <v>#REF!</v>
      </c>
      <c r="J177" s="22" t="e">
        <f t="shared" si="26"/>
        <v>#REF!</v>
      </c>
      <c r="K177" s="73" t="e">
        <f t="shared" si="27"/>
        <v>#REF!</v>
      </c>
      <c r="L177" s="18"/>
      <c r="M177" s="215"/>
      <c r="N177" s="215"/>
      <c r="O177" s="215"/>
      <c r="P177" s="215"/>
      <c r="Q177" s="214"/>
    </row>
    <row r="178" spans="1:17" x14ac:dyDescent="0.2">
      <c r="A178" s="209" t="s">
        <v>64</v>
      </c>
      <c r="B178" s="210"/>
      <c r="C178" s="210"/>
      <c r="D178" s="210"/>
      <c r="E178" s="210"/>
      <c r="F178" s="211"/>
      <c r="G178" s="88">
        <f>SUM(G166:G177)</f>
        <v>1.0000000000000002</v>
      </c>
      <c r="H178" s="59" t="e">
        <f>SUM(H166:H177)</f>
        <v>#REF!</v>
      </c>
      <c r="I178" s="37"/>
      <c r="J178" s="37" t="e">
        <f>SUM(J166:J177)</f>
        <v>#REF!</v>
      </c>
      <c r="K178" s="38"/>
      <c r="L178" s="38"/>
      <c r="M178" s="109"/>
      <c r="N178" s="109"/>
      <c r="O178" s="109"/>
      <c r="P178" s="109"/>
      <c r="Q178" s="109"/>
    </row>
    <row r="181" spans="1:17" x14ac:dyDescent="0.2">
      <c r="A181" s="147" t="s">
        <v>98</v>
      </c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9"/>
    </row>
    <row r="182" spans="1:17" x14ac:dyDescent="0.2">
      <c r="A182" s="142" t="s">
        <v>99</v>
      </c>
      <c r="B182" s="143"/>
      <c r="C182" s="143"/>
      <c r="D182" s="144"/>
      <c r="E182" s="201" t="s">
        <v>229</v>
      </c>
      <c r="F182" s="202"/>
      <c r="G182" s="202"/>
      <c r="H182" s="202"/>
      <c r="I182" s="202"/>
      <c r="J182" s="202"/>
      <c r="K182" s="202"/>
      <c r="L182" s="202"/>
      <c r="M182" s="202"/>
      <c r="N182" s="202"/>
      <c r="O182" s="202"/>
      <c r="P182" s="202"/>
      <c r="Q182" s="203"/>
    </row>
    <row r="183" spans="1:17" x14ac:dyDescent="0.2">
      <c r="A183" s="142" t="s">
        <v>100</v>
      </c>
      <c r="B183" s="143"/>
      <c r="C183" s="143"/>
      <c r="D183" s="144"/>
      <c r="E183" s="201" t="s">
        <v>230</v>
      </c>
      <c r="F183" s="202"/>
      <c r="G183" s="202"/>
      <c r="H183" s="202"/>
      <c r="I183" s="202"/>
      <c r="J183" s="202"/>
      <c r="K183" s="202"/>
      <c r="L183" s="202"/>
      <c r="M183" s="202"/>
      <c r="N183" s="202"/>
      <c r="O183" s="202"/>
      <c r="P183" s="202"/>
      <c r="Q183" s="203"/>
    </row>
    <row r="184" spans="1:17" ht="48" x14ac:dyDescent="0.2">
      <c r="A184" s="14" t="s">
        <v>35</v>
      </c>
      <c r="B184" s="14" t="s">
        <v>36</v>
      </c>
      <c r="C184" s="126" t="s">
        <v>37</v>
      </c>
      <c r="D184" s="127"/>
      <c r="E184" s="15" t="s">
        <v>70</v>
      </c>
      <c r="F184" s="14" t="s">
        <v>39</v>
      </c>
      <c r="G184" s="14" t="s">
        <v>40</v>
      </c>
      <c r="H184" s="14" t="s">
        <v>41</v>
      </c>
      <c r="I184" s="16" t="s">
        <v>42</v>
      </c>
      <c r="J184" s="16" t="s">
        <v>43</v>
      </c>
      <c r="K184" s="14" t="s">
        <v>44</v>
      </c>
      <c r="L184" s="14" t="s">
        <v>45</v>
      </c>
      <c r="M184" s="14" t="s">
        <v>46</v>
      </c>
      <c r="N184" s="14" t="s">
        <v>47</v>
      </c>
      <c r="O184" s="14" t="s">
        <v>48</v>
      </c>
      <c r="P184" s="14" t="s">
        <v>49</v>
      </c>
      <c r="Q184" s="14" t="s">
        <v>50</v>
      </c>
    </row>
    <row r="185" spans="1:17" ht="16" x14ac:dyDescent="0.2">
      <c r="A185" s="18">
        <v>1</v>
      </c>
      <c r="B185" s="18" t="e">
        <f>_xlfn.XLOOKUP(C185,#REF!,#REF!)</f>
        <v>#REF!</v>
      </c>
      <c r="C185" s="20" t="s">
        <v>59</v>
      </c>
      <c r="D185" s="9"/>
      <c r="E185" s="24" t="e">
        <f>_xlfn.XLOOKUP(C185,#REF!,#REF!)</f>
        <v>#REF!</v>
      </c>
      <c r="F185" s="18" t="e">
        <f>_xlfn.XLOOKUP(C185,#REF!,#REF!)</f>
        <v>#REF!</v>
      </c>
      <c r="G185" s="87">
        <v>0.43503849999999999</v>
      </c>
      <c r="H185" s="42" t="e">
        <f>G185*$H$82</f>
        <v>#REF!</v>
      </c>
      <c r="I185" s="97" t="e">
        <f>_xlfn.XLOOKUP(B185,#REF!,#REF!)</f>
        <v>#REF!</v>
      </c>
      <c r="J185" s="22" t="e">
        <f t="shared" ref="J185:J196" si="28">G185*I185</f>
        <v>#REF!</v>
      </c>
      <c r="K185" s="73" t="e">
        <f t="shared" ref="K185:K196" si="29">H185*$J$18/1000000</f>
        <v>#REF!</v>
      </c>
      <c r="L185" s="18"/>
      <c r="M185" s="215">
        <v>1</v>
      </c>
      <c r="N185" s="215" t="s">
        <v>54</v>
      </c>
      <c r="O185" s="215" t="s">
        <v>55</v>
      </c>
      <c r="P185" s="215" t="s">
        <v>62</v>
      </c>
      <c r="Q185" s="214" t="s">
        <v>73</v>
      </c>
    </row>
    <row r="186" spans="1:17" ht="16" x14ac:dyDescent="0.2">
      <c r="A186" s="18">
        <v>2</v>
      </c>
      <c r="B186" s="18" t="e">
        <f>_xlfn.XLOOKUP(C186,#REF!,#REF!)</f>
        <v>#REF!</v>
      </c>
      <c r="C186" s="20" t="s">
        <v>90</v>
      </c>
      <c r="D186" s="9"/>
      <c r="E186" s="24" t="e">
        <f>_xlfn.XLOOKUP(C186,#REF!,#REF!)</f>
        <v>#REF!</v>
      </c>
      <c r="F186" s="18" t="e">
        <f>_xlfn.XLOOKUP(C186,#REF!,#REF!)</f>
        <v>#REF!</v>
      </c>
      <c r="G186" s="87">
        <v>5.6352999999999993E-3</v>
      </c>
      <c r="H186" s="42" t="e">
        <f t="shared" ref="H186:H204" si="30">G186*$H$82</f>
        <v>#REF!</v>
      </c>
      <c r="I186" s="97" t="e">
        <f>_xlfn.XLOOKUP(B186,#REF!,#REF!)</f>
        <v>#REF!</v>
      </c>
      <c r="J186" s="22" t="e">
        <f t="shared" si="28"/>
        <v>#REF!</v>
      </c>
      <c r="K186" s="73" t="e">
        <f t="shared" si="29"/>
        <v>#REF!</v>
      </c>
      <c r="L186" s="18"/>
      <c r="M186" s="215"/>
      <c r="N186" s="215"/>
      <c r="O186" s="215"/>
      <c r="P186" s="215"/>
      <c r="Q186" s="214"/>
    </row>
    <row r="187" spans="1:17" ht="16" x14ac:dyDescent="0.2">
      <c r="A187" s="18">
        <v>3</v>
      </c>
      <c r="B187" s="18" t="e">
        <f>_xlfn.XLOOKUP(C187,#REF!,#REF!)</f>
        <v>#REF!</v>
      </c>
      <c r="C187" s="20" t="s">
        <v>183</v>
      </c>
      <c r="D187" s="9"/>
      <c r="E187" s="24" t="e">
        <f>_xlfn.XLOOKUP(C187,#REF!,#REF!)</f>
        <v>#REF!</v>
      </c>
      <c r="F187" s="18" t="e">
        <f>_xlfn.XLOOKUP(C187,#REF!,#REF!)</f>
        <v>#REF!</v>
      </c>
      <c r="G187" s="87">
        <v>1.5429999999999998E-4</v>
      </c>
      <c r="H187" s="42" t="e">
        <f t="shared" si="30"/>
        <v>#REF!</v>
      </c>
      <c r="I187" s="97" t="e">
        <f>_xlfn.XLOOKUP(B187,#REF!,#REF!)</f>
        <v>#REF!</v>
      </c>
      <c r="J187" s="22" t="e">
        <f t="shared" si="28"/>
        <v>#REF!</v>
      </c>
      <c r="K187" s="73" t="e">
        <f t="shared" si="29"/>
        <v>#REF!</v>
      </c>
      <c r="L187" s="18"/>
      <c r="M187" s="215"/>
      <c r="N187" s="215"/>
      <c r="O187" s="215"/>
      <c r="P187" s="215"/>
      <c r="Q187" s="214"/>
    </row>
    <row r="188" spans="1:17" ht="16" x14ac:dyDescent="0.2">
      <c r="A188" s="18">
        <v>4</v>
      </c>
      <c r="B188" s="18" t="e">
        <f>_xlfn.XLOOKUP(C188,#REF!,#REF!)</f>
        <v>#REF!</v>
      </c>
      <c r="C188" s="20" t="s">
        <v>184</v>
      </c>
      <c r="D188" s="9"/>
      <c r="E188" s="24" t="e">
        <f>_xlfn.XLOOKUP(C188,#REF!,#REF!)</f>
        <v>#REF!</v>
      </c>
      <c r="F188" s="18" t="e">
        <f>_xlfn.XLOOKUP(C188,#REF!,#REF!)</f>
        <v>#REF!</v>
      </c>
      <c r="G188" s="87">
        <v>2.0709999999999999E-4</v>
      </c>
      <c r="H188" s="42" t="e">
        <f t="shared" si="30"/>
        <v>#REF!</v>
      </c>
      <c r="I188" s="97" t="e">
        <f>_xlfn.XLOOKUP(B188,#REF!,#REF!)</f>
        <v>#REF!</v>
      </c>
      <c r="J188" s="22" t="e">
        <f t="shared" si="28"/>
        <v>#REF!</v>
      </c>
      <c r="K188" s="73" t="e">
        <f t="shared" si="29"/>
        <v>#REF!</v>
      </c>
      <c r="L188" s="18"/>
      <c r="M188" s="215"/>
      <c r="N188" s="215"/>
      <c r="O188" s="215"/>
      <c r="P188" s="215"/>
      <c r="Q188" s="214"/>
    </row>
    <row r="189" spans="1:17" ht="16" x14ac:dyDescent="0.2">
      <c r="A189" s="18">
        <v>5</v>
      </c>
      <c r="B189" s="18" t="e">
        <f>_xlfn.XLOOKUP(C189,#REF!,#REF!)</f>
        <v>#REF!</v>
      </c>
      <c r="C189" s="20" t="s">
        <v>136</v>
      </c>
      <c r="D189" s="9"/>
      <c r="E189" s="24" t="e">
        <f>_xlfn.XLOOKUP(C189,#REF!,#REF!)</f>
        <v>#REF!</v>
      </c>
      <c r="F189" s="18" t="e">
        <f>_xlfn.XLOOKUP(C189,#REF!,#REF!)</f>
        <v>#REF!</v>
      </c>
      <c r="G189" s="87">
        <v>4.3760000000000001E-4</v>
      </c>
      <c r="H189" s="42" t="e">
        <f t="shared" si="30"/>
        <v>#REF!</v>
      </c>
      <c r="I189" s="97" t="e">
        <f>_xlfn.XLOOKUP(B189,#REF!,#REF!)</f>
        <v>#REF!</v>
      </c>
      <c r="J189" s="22" t="e">
        <f t="shared" si="28"/>
        <v>#REF!</v>
      </c>
      <c r="K189" s="73" t="e">
        <f t="shared" si="29"/>
        <v>#REF!</v>
      </c>
      <c r="L189" s="18"/>
      <c r="M189" s="215">
        <v>2</v>
      </c>
      <c r="N189" s="215" t="s">
        <v>54</v>
      </c>
      <c r="O189" s="215"/>
      <c r="P189" s="215"/>
      <c r="Q189" s="214"/>
    </row>
    <row r="190" spans="1:17" ht="16" x14ac:dyDescent="0.2">
      <c r="A190" s="18">
        <v>6</v>
      </c>
      <c r="B190" s="18" t="e">
        <f>_xlfn.XLOOKUP(C190,#REF!,#REF!)</f>
        <v>#REF!</v>
      </c>
      <c r="C190" s="20" t="s">
        <v>103</v>
      </c>
      <c r="D190" s="9"/>
      <c r="E190" s="24" t="e">
        <f>_xlfn.XLOOKUP(C190,#REF!,#REF!)</f>
        <v>#REF!</v>
      </c>
      <c r="F190" s="18" t="e">
        <f>_xlfn.XLOOKUP(C190,#REF!,#REF!)</f>
        <v>#REF!</v>
      </c>
      <c r="G190" s="87">
        <v>3.45127E-2</v>
      </c>
      <c r="H190" s="42" t="e">
        <f t="shared" si="30"/>
        <v>#REF!</v>
      </c>
      <c r="I190" s="97" t="e">
        <f>_xlfn.XLOOKUP(B190,#REF!,#REF!)</f>
        <v>#REF!</v>
      </c>
      <c r="J190" s="22" t="e">
        <f t="shared" si="28"/>
        <v>#REF!</v>
      </c>
      <c r="K190" s="73" t="e">
        <f t="shared" si="29"/>
        <v>#REF!</v>
      </c>
      <c r="L190" s="18"/>
      <c r="M190" s="215"/>
      <c r="N190" s="215"/>
      <c r="O190" s="215"/>
      <c r="P190" s="215"/>
      <c r="Q190" s="214"/>
    </row>
    <row r="191" spans="1:17" ht="16" x14ac:dyDescent="0.2">
      <c r="A191" s="18">
        <v>7</v>
      </c>
      <c r="B191" s="18" t="e">
        <f>_xlfn.XLOOKUP(C191,#REF!,#REF!)</f>
        <v>#REF!</v>
      </c>
      <c r="C191" s="20" t="s">
        <v>140</v>
      </c>
      <c r="D191" s="9"/>
      <c r="E191" s="24" t="e">
        <f>_xlfn.XLOOKUP(C191,#REF!,#REF!)</f>
        <v>#REF!</v>
      </c>
      <c r="F191" s="18" t="e">
        <f>_xlfn.XLOOKUP(C191,#REF!,#REF!)</f>
        <v>#REF!</v>
      </c>
      <c r="G191" s="87">
        <v>6.9025400000000001E-2</v>
      </c>
      <c r="H191" s="42" t="e">
        <f t="shared" si="30"/>
        <v>#REF!</v>
      </c>
      <c r="I191" s="97" t="e">
        <f>_xlfn.XLOOKUP(B191,#REF!,#REF!)</f>
        <v>#REF!</v>
      </c>
      <c r="J191" s="22" t="e">
        <f t="shared" si="28"/>
        <v>#REF!</v>
      </c>
      <c r="K191" s="73" t="e">
        <f t="shared" si="29"/>
        <v>#REF!</v>
      </c>
      <c r="L191" s="18"/>
      <c r="M191" s="215"/>
      <c r="N191" s="215"/>
      <c r="O191" s="215"/>
      <c r="P191" s="215"/>
      <c r="Q191" s="214"/>
    </row>
    <row r="192" spans="1:17" ht="16" x14ac:dyDescent="0.2">
      <c r="A192" s="18">
        <v>8</v>
      </c>
      <c r="B192" s="18" t="e">
        <f>_xlfn.XLOOKUP(C192,#REF!,#REF!)</f>
        <v>#REF!</v>
      </c>
      <c r="C192" s="20" t="s">
        <v>106</v>
      </c>
      <c r="D192" s="9"/>
      <c r="E192" s="24" t="e">
        <f>_xlfn.XLOOKUP(C192,#REF!,#REF!)</f>
        <v>#REF!</v>
      </c>
      <c r="F192" s="18" t="e">
        <f>_xlfn.XLOOKUP(C192,#REF!,#REF!)</f>
        <v>#REF!</v>
      </c>
      <c r="G192" s="87">
        <v>6.4424E-3</v>
      </c>
      <c r="H192" s="42" t="e">
        <f t="shared" si="30"/>
        <v>#REF!</v>
      </c>
      <c r="I192" s="97" t="e">
        <f>_xlfn.XLOOKUP(B192,#REF!,#REF!)</f>
        <v>#REF!</v>
      </c>
      <c r="J192" s="22" t="e">
        <f t="shared" si="28"/>
        <v>#REF!</v>
      </c>
      <c r="K192" s="73" t="e">
        <f t="shared" si="29"/>
        <v>#REF!</v>
      </c>
      <c r="L192" s="18"/>
      <c r="M192" s="215"/>
      <c r="N192" s="215"/>
      <c r="O192" s="215"/>
      <c r="P192" s="215"/>
      <c r="Q192" s="214"/>
    </row>
    <row r="193" spans="1:17" ht="16" x14ac:dyDescent="0.2">
      <c r="A193" s="18">
        <v>9</v>
      </c>
      <c r="B193" s="18" t="e">
        <f>_xlfn.XLOOKUP(C193,#REF!,#REF!)</f>
        <v>#REF!</v>
      </c>
      <c r="C193" s="20" t="s">
        <v>130</v>
      </c>
      <c r="D193" s="9"/>
      <c r="E193" s="24" t="e">
        <f>_xlfn.XLOOKUP(C193,#REF!,#REF!)</f>
        <v>#REF!</v>
      </c>
      <c r="F193" s="18" t="e">
        <f>_xlfn.XLOOKUP(C193,#REF!,#REF!)</f>
        <v>#REF!</v>
      </c>
      <c r="G193" s="87">
        <v>8.2830000000000002E-4</v>
      </c>
      <c r="H193" s="42" t="e">
        <f t="shared" si="30"/>
        <v>#REF!</v>
      </c>
      <c r="I193" s="97" t="e">
        <f>_xlfn.XLOOKUP(B193,#REF!,#REF!)</f>
        <v>#REF!</v>
      </c>
      <c r="J193" s="22" t="e">
        <f t="shared" si="28"/>
        <v>#REF!</v>
      </c>
      <c r="K193" s="73" t="e">
        <f t="shared" si="29"/>
        <v>#REF!</v>
      </c>
      <c r="L193" s="18"/>
      <c r="M193" s="215"/>
      <c r="N193" s="215"/>
      <c r="O193" s="215"/>
      <c r="P193" s="215"/>
      <c r="Q193" s="214"/>
    </row>
    <row r="194" spans="1:17" ht="16" x14ac:dyDescent="0.2">
      <c r="A194" s="18">
        <v>10</v>
      </c>
      <c r="B194" s="18" t="e">
        <f>_xlfn.XLOOKUP(C194,#REF!,#REF!)</f>
        <v>#REF!</v>
      </c>
      <c r="C194" s="20" t="s">
        <v>132</v>
      </c>
      <c r="D194" s="9"/>
      <c r="E194" s="24" t="e">
        <f>_xlfn.XLOOKUP(C194,#REF!,#REF!)</f>
        <v>#REF!</v>
      </c>
      <c r="F194" s="18" t="e">
        <f>_xlfn.XLOOKUP(C194,#REF!,#REF!)</f>
        <v>#REF!</v>
      </c>
      <c r="G194" s="87">
        <v>3.4513E-3</v>
      </c>
      <c r="H194" s="42" t="e">
        <f t="shared" si="30"/>
        <v>#REF!</v>
      </c>
      <c r="I194" s="97" t="e">
        <f>_xlfn.XLOOKUP(B194,#REF!,#REF!)</f>
        <v>#REF!</v>
      </c>
      <c r="J194" s="22" t="e">
        <f t="shared" si="28"/>
        <v>#REF!</v>
      </c>
      <c r="K194" s="73" t="e">
        <f t="shared" si="29"/>
        <v>#REF!</v>
      </c>
      <c r="L194" s="18"/>
      <c r="M194" s="215"/>
      <c r="N194" s="215"/>
      <c r="O194" s="215"/>
      <c r="P194" s="215"/>
      <c r="Q194" s="214"/>
    </row>
    <row r="195" spans="1:17" ht="16" x14ac:dyDescent="0.2">
      <c r="A195" s="18">
        <v>11</v>
      </c>
      <c r="B195" s="18" t="e">
        <f>_xlfn.XLOOKUP(C195,#REF!,#REF!)</f>
        <v>#REF!</v>
      </c>
      <c r="C195" s="20" t="s">
        <v>109</v>
      </c>
      <c r="D195" s="9"/>
      <c r="E195" s="24" t="e">
        <f>_xlfn.XLOOKUP(C195,#REF!,#REF!)</f>
        <v>#REF!</v>
      </c>
      <c r="F195" s="18" t="e">
        <f>_xlfn.XLOOKUP(C195,#REF!,#REF!)</f>
        <v>#REF!</v>
      </c>
      <c r="G195" s="87">
        <v>2.8760999999999999E-3</v>
      </c>
      <c r="H195" s="42" t="e">
        <f t="shared" si="30"/>
        <v>#REF!</v>
      </c>
      <c r="I195" s="97" t="e">
        <f>_xlfn.XLOOKUP(B195,#REF!,#REF!)</f>
        <v>#REF!</v>
      </c>
      <c r="J195" s="22" t="e">
        <f t="shared" si="28"/>
        <v>#REF!</v>
      </c>
      <c r="K195" s="73" t="e">
        <f t="shared" si="29"/>
        <v>#REF!</v>
      </c>
      <c r="L195" s="18"/>
      <c r="M195" s="215"/>
      <c r="N195" s="215"/>
      <c r="O195" s="215"/>
      <c r="P195" s="215"/>
      <c r="Q195" s="214"/>
    </row>
    <row r="196" spans="1:17" ht="16" x14ac:dyDescent="0.2">
      <c r="A196" s="18">
        <v>12</v>
      </c>
      <c r="B196" s="18" t="e">
        <f>_xlfn.XLOOKUP(C196,#REF!,#REF!)</f>
        <v>#REF!</v>
      </c>
      <c r="C196" s="20" t="s">
        <v>152</v>
      </c>
      <c r="D196" s="9"/>
      <c r="E196" s="24" t="e">
        <f>_xlfn.XLOOKUP(C196,#REF!,#REF!)</f>
        <v>#REF!</v>
      </c>
      <c r="F196" s="18" t="e">
        <f>_xlfn.XLOOKUP(C196,#REF!,#REF!)</f>
        <v>#REF!</v>
      </c>
      <c r="G196" s="87">
        <v>3.4509999999999999E-4</v>
      </c>
      <c r="H196" s="42" t="e">
        <f t="shared" si="30"/>
        <v>#REF!</v>
      </c>
      <c r="I196" s="97" t="e">
        <f>_xlfn.XLOOKUP(B196,#REF!,#REF!)</f>
        <v>#REF!</v>
      </c>
      <c r="J196" s="22" t="e">
        <f t="shared" si="28"/>
        <v>#REF!</v>
      </c>
      <c r="K196" s="73" t="e">
        <f t="shared" si="29"/>
        <v>#REF!</v>
      </c>
      <c r="L196" s="18"/>
      <c r="M196" s="215"/>
      <c r="N196" s="215"/>
      <c r="O196" s="215"/>
      <c r="P196" s="215"/>
      <c r="Q196" s="214"/>
    </row>
    <row r="197" spans="1:17" ht="16" x14ac:dyDescent="0.2">
      <c r="A197" s="18">
        <v>13</v>
      </c>
      <c r="B197" s="18" t="e">
        <f>_xlfn.XLOOKUP(C197,#REF!,#REF!)</f>
        <v>#REF!</v>
      </c>
      <c r="C197" s="20" t="s">
        <v>111</v>
      </c>
      <c r="D197" s="9"/>
      <c r="E197" s="24" t="e">
        <f>_xlfn.XLOOKUP(C197,#REF!,#REF!)</f>
        <v>#REF!</v>
      </c>
      <c r="F197" s="18" t="e">
        <f>_xlfn.XLOOKUP(C197,#REF!,#REF!)</f>
        <v>#REF!</v>
      </c>
      <c r="G197" s="87">
        <v>4.797E-4</v>
      </c>
      <c r="H197" s="42" t="e">
        <f t="shared" si="30"/>
        <v>#REF!</v>
      </c>
      <c r="I197" s="97" t="e">
        <f>_xlfn.XLOOKUP(B197,#REF!,#REF!)</f>
        <v>#REF!</v>
      </c>
      <c r="J197" s="22" t="e">
        <f t="shared" ref="J197:J204" si="31">G197*I197</f>
        <v>#REF!</v>
      </c>
      <c r="K197" s="73" t="e">
        <f t="shared" ref="K197:K204" si="32">H197*$J$18/1000000</f>
        <v>#REF!</v>
      </c>
      <c r="L197" s="18"/>
      <c r="M197" s="215"/>
      <c r="N197" s="215"/>
      <c r="O197" s="215"/>
      <c r="P197" s="215"/>
      <c r="Q197" s="214"/>
    </row>
    <row r="198" spans="1:17" ht="16" x14ac:dyDescent="0.2">
      <c r="A198" s="18">
        <v>14</v>
      </c>
      <c r="B198" s="18" t="e">
        <f>_xlfn.XLOOKUP(C198,#REF!,#REF!)</f>
        <v>#REF!</v>
      </c>
      <c r="C198" s="20" t="s">
        <v>112</v>
      </c>
      <c r="D198" s="9"/>
      <c r="E198" s="24" t="e">
        <f>_xlfn.XLOOKUP(C198,#REF!,#REF!)</f>
        <v>#REF!</v>
      </c>
      <c r="F198" s="18" t="e">
        <f>_xlfn.XLOOKUP(C198,#REF!,#REF!)</f>
        <v>#REF!</v>
      </c>
      <c r="G198" s="87">
        <v>1.9672000000000001E-3</v>
      </c>
      <c r="H198" s="42" t="e">
        <f t="shared" si="30"/>
        <v>#REF!</v>
      </c>
      <c r="I198" s="97" t="e">
        <f>_xlfn.XLOOKUP(B198,#REF!,#REF!)</f>
        <v>#REF!</v>
      </c>
      <c r="J198" s="22" t="e">
        <f t="shared" si="31"/>
        <v>#REF!</v>
      </c>
      <c r="K198" s="73" t="e">
        <f t="shared" si="32"/>
        <v>#REF!</v>
      </c>
      <c r="L198" s="18"/>
      <c r="M198" s="215"/>
      <c r="N198" s="215"/>
      <c r="O198" s="215"/>
      <c r="P198" s="215"/>
      <c r="Q198" s="214"/>
    </row>
    <row r="199" spans="1:17" ht="16" x14ac:dyDescent="0.2">
      <c r="A199" s="18">
        <v>15</v>
      </c>
      <c r="B199" s="18" t="e">
        <f>_xlfn.XLOOKUP(C199,#REF!,#REF!)</f>
        <v>#REF!</v>
      </c>
      <c r="C199" s="20" t="s">
        <v>161</v>
      </c>
      <c r="D199" s="9"/>
      <c r="E199" s="24" t="e">
        <f>_xlfn.XLOOKUP(C199,#REF!,#REF!)</f>
        <v>#REF!</v>
      </c>
      <c r="F199" s="18" t="e">
        <f>_xlfn.XLOOKUP(C199,#REF!,#REF!)</f>
        <v>#REF!</v>
      </c>
      <c r="G199" s="87">
        <v>0.1410419</v>
      </c>
      <c r="H199" s="42" t="e">
        <f t="shared" si="30"/>
        <v>#REF!</v>
      </c>
      <c r="I199" s="97" t="e">
        <f>_xlfn.XLOOKUP(B199,#REF!,#REF!)</f>
        <v>#REF!</v>
      </c>
      <c r="J199" s="22" t="e">
        <f t="shared" si="31"/>
        <v>#REF!</v>
      </c>
      <c r="K199" s="73" t="e">
        <f t="shared" si="32"/>
        <v>#REF!</v>
      </c>
      <c r="L199" s="18"/>
      <c r="M199" s="215"/>
      <c r="N199" s="215"/>
      <c r="O199" s="215"/>
      <c r="P199" s="215"/>
      <c r="Q199" s="214"/>
    </row>
    <row r="200" spans="1:17" ht="16" x14ac:dyDescent="0.2">
      <c r="A200" s="18">
        <v>16</v>
      </c>
      <c r="B200" s="18" t="e">
        <f>_xlfn.XLOOKUP(C200,#REF!,#REF!)</f>
        <v>#REF!</v>
      </c>
      <c r="C200" s="20" t="s">
        <v>164</v>
      </c>
      <c r="D200" s="9"/>
      <c r="E200" s="24" t="e">
        <f>_xlfn.XLOOKUP(C200,#REF!,#REF!)</f>
        <v>#REF!</v>
      </c>
      <c r="F200" s="18" t="e">
        <f>_xlfn.XLOOKUP(C200,#REF!,#REF!)</f>
        <v>#REF!</v>
      </c>
      <c r="G200" s="87">
        <v>6.9025400000000001E-2</v>
      </c>
      <c r="H200" s="42" t="e">
        <f t="shared" si="30"/>
        <v>#REF!</v>
      </c>
      <c r="I200" s="97" t="e">
        <f>_xlfn.XLOOKUP(B200,#REF!,#REF!)</f>
        <v>#REF!</v>
      </c>
      <c r="J200" s="22" t="e">
        <f t="shared" si="31"/>
        <v>#REF!</v>
      </c>
      <c r="K200" s="73" t="e">
        <f t="shared" si="32"/>
        <v>#REF!</v>
      </c>
      <c r="L200" s="18"/>
      <c r="M200" s="215"/>
      <c r="N200" s="215"/>
      <c r="O200" s="215"/>
      <c r="P200" s="215"/>
      <c r="Q200" s="214"/>
    </row>
    <row r="201" spans="1:17" ht="16" x14ac:dyDescent="0.2">
      <c r="A201" s="18">
        <v>17</v>
      </c>
      <c r="B201" s="18" t="e">
        <f>_xlfn.XLOOKUP(C201,#REF!,#REF!)</f>
        <v>#REF!</v>
      </c>
      <c r="C201" s="20" t="s">
        <v>114</v>
      </c>
      <c r="D201" s="9"/>
      <c r="E201" s="24" t="e">
        <f>_xlfn.XLOOKUP(C201,#REF!,#REF!)</f>
        <v>#REF!</v>
      </c>
      <c r="F201" s="18" t="e">
        <f>_xlfn.XLOOKUP(C201,#REF!,#REF!)</f>
        <v>#REF!</v>
      </c>
      <c r="G201" s="87">
        <v>4.4870000000000001E-4</v>
      </c>
      <c r="H201" s="42" t="e">
        <f t="shared" si="30"/>
        <v>#REF!</v>
      </c>
      <c r="I201" s="97" t="e">
        <f>_xlfn.XLOOKUP(B201,#REF!,#REF!)</f>
        <v>#REF!</v>
      </c>
      <c r="J201" s="22" t="e">
        <f t="shared" si="31"/>
        <v>#REF!</v>
      </c>
      <c r="K201" s="73" t="e">
        <f t="shared" si="32"/>
        <v>#REF!</v>
      </c>
      <c r="L201" s="18"/>
      <c r="M201" s="215"/>
      <c r="N201" s="215"/>
      <c r="O201" s="215"/>
      <c r="P201" s="215"/>
      <c r="Q201" s="214"/>
    </row>
    <row r="202" spans="1:17" ht="16" x14ac:dyDescent="0.2">
      <c r="A202" s="18">
        <v>18</v>
      </c>
      <c r="B202" s="18" t="e">
        <f>_xlfn.XLOOKUP(C202,#REF!,#REF!)</f>
        <v>#REF!</v>
      </c>
      <c r="C202" s="20" t="s">
        <v>113</v>
      </c>
      <c r="D202" s="9"/>
      <c r="E202" s="24" t="e">
        <f>_xlfn.XLOOKUP(C202,#REF!,#REF!)</f>
        <v>#REF!</v>
      </c>
      <c r="F202" s="18" t="e">
        <f>_xlfn.XLOOKUP(C202,#REF!,#REF!)</f>
        <v>#REF!</v>
      </c>
      <c r="G202" s="87">
        <v>0.21066559999999998</v>
      </c>
      <c r="H202" s="42" t="e">
        <f t="shared" si="30"/>
        <v>#REF!</v>
      </c>
      <c r="I202" s="97" t="e">
        <f>_xlfn.XLOOKUP(B202,#REF!,#REF!)</f>
        <v>#REF!</v>
      </c>
      <c r="J202" s="22" t="e">
        <f t="shared" si="31"/>
        <v>#REF!</v>
      </c>
      <c r="K202" s="73" t="e">
        <f t="shared" si="32"/>
        <v>#REF!</v>
      </c>
      <c r="L202" s="18"/>
      <c r="M202" s="215"/>
      <c r="N202" s="215"/>
      <c r="O202" s="215"/>
      <c r="P202" s="215"/>
      <c r="Q202" s="214"/>
    </row>
    <row r="203" spans="1:17" ht="16" x14ac:dyDescent="0.2">
      <c r="A203" s="18">
        <v>19</v>
      </c>
      <c r="B203" s="18" t="e">
        <f>_xlfn.XLOOKUP(C203,#REF!,#REF!)</f>
        <v>#REF!</v>
      </c>
      <c r="C203" s="20" t="s">
        <v>137</v>
      </c>
      <c r="D203" s="9"/>
      <c r="E203" s="24" t="e">
        <f>_xlfn.XLOOKUP(C203,#REF!,#REF!)</f>
        <v>#REF!</v>
      </c>
      <c r="F203" s="18" t="e">
        <f>_xlfn.XLOOKUP(C203,#REF!,#REF!)</f>
        <v>#REF!</v>
      </c>
      <c r="G203" s="87">
        <v>3.4513E-3</v>
      </c>
      <c r="H203" s="42" t="e">
        <f t="shared" si="30"/>
        <v>#REF!</v>
      </c>
      <c r="I203" s="97" t="e">
        <f>_xlfn.XLOOKUP(B203,#REF!,#REF!)</f>
        <v>#REF!</v>
      </c>
      <c r="J203" s="22" t="e">
        <f t="shared" si="31"/>
        <v>#REF!</v>
      </c>
      <c r="K203" s="73" t="e">
        <f t="shared" si="32"/>
        <v>#REF!</v>
      </c>
      <c r="L203" s="18"/>
      <c r="M203" s="215"/>
      <c r="N203" s="215"/>
      <c r="O203" s="215"/>
      <c r="P203" s="215"/>
      <c r="Q203" s="214"/>
    </row>
    <row r="204" spans="1:17" ht="16" x14ac:dyDescent="0.2">
      <c r="A204" s="18">
        <v>20</v>
      </c>
      <c r="B204" s="18" t="e">
        <f>_xlfn.XLOOKUP(C204,#REF!,#REF!)</f>
        <v>#REF!</v>
      </c>
      <c r="C204" s="20" t="s">
        <v>108</v>
      </c>
      <c r="D204" s="9"/>
      <c r="E204" s="24" t="e">
        <f>_xlfn.XLOOKUP(C204,#REF!,#REF!)</f>
        <v>#REF!</v>
      </c>
      <c r="F204" s="18" t="e">
        <f>_xlfn.XLOOKUP(C204,#REF!,#REF!)</f>
        <v>#REF!</v>
      </c>
      <c r="G204" s="87">
        <v>1.3966099999999999E-2</v>
      </c>
      <c r="H204" s="42" t="e">
        <f t="shared" si="30"/>
        <v>#REF!</v>
      </c>
      <c r="I204" s="97" t="e">
        <f>_xlfn.XLOOKUP(B204,#REF!,#REF!)</f>
        <v>#REF!</v>
      </c>
      <c r="J204" s="22" t="e">
        <f t="shared" si="31"/>
        <v>#REF!</v>
      </c>
      <c r="K204" s="73" t="e">
        <f t="shared" si="32"/>
        <v>#REF!</v>
      </c>
      <c r="L204" s="18"/>
      <c r="M204" s="215"/>
      <c r="N204" s="215"/>
      <c r="O204" s="215"/>
      <c r="P204" s="215"/>
      <c r="Q204" s="214"/>
    </row>
    <row r="205" spans="1:17" x14ac:dyDescent="0.2">
      <c r="A205" s="209" t="s">
        <v>64</v>
      </c>
      <c r="B205" s="210"/>
      <c r="C205" s="210"/>
      <c r="D205" s="210"/>
      <c r="E205" s="210"/>
      <c r="F205" s="211"/>
      <c r="G205" s="88">
        <f>SUM(G185:G204)</f>
        <v>0.99999999999999989</v>
      </c>
      <c r="H205" s="59" t="e">
        <f>SUM(H185:H204)</f>
        <v>#REF!</v>
      </c>
      <c r="I205" s="37"/>
      <c r="J205" s="37" t="e">
        <f>SUM(J185:J204)</f>
        <v>#REF!</v>
      </c>
      <c r="K205" s="38"/>
      <c r="L205" s="38"/>
      <c r="M205" s="109"/>
      <c r="N205" s="109"/>
      <c r="O205" s="109"/>
      <c r="P205" s="109"/>
      <c r="Q205" s="109"/>
    </row>
    <row r="208" spans="1:17" x14ac:dyDescent="0.2">
      <c r="A208" s="147" t="s">
        <v>98</v>
      </c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9"/>
    </row>
    <row r="209" spans="1:17" x14ac:dyDescent="0.2">
      <c r="A209" s="142" t="s">
        <v>99</v>
      </c>
      <c r="B209" s="143"/>
      <c r="C209" s="143"/>
      <c r="D209" s="144"/>
      <c r="E209" s="201" t="s">
        <v>231</v>
      </c>
      <c r="F209" s="202"/>
      <c r="G209" s="202"/>
      <c r="H209" s="202"/>
      <c r="I209" s="202"/>
      <c r="J209" s="202"/>
      <c r="K209" s="202"/>
      <c r="L209" s="202"/>
      <c r="M209" s="202"/>
      <c r="N209" s="202"/>
      <c r="O209" s="202"/>
      <c r="P209" s="202"/>
      <c r="Q209" s="203"/>
    </row>
    <row r="210" spans="1:17" x14ac:dyDescent="0.2">
      <c r="A210" s="142" t="s">
        <v>100</v>
      </c>
      <c r="B210" s="143"/>
      <c r="C210" s="143"/>
      <c r="D210" s="144"/>
      <c r="E210" s="201" t="s">
        <v>232</v>
      </c>
      <c r="F210" s="202"/>
      <c r="G210" s="202"/>
      <c r="H210" s="202"/>
      <c r="I210" s="202"/>
      <c r="J210" s="202"/>
      <c r="K210" s="202"/>
      <c r="L210" s="202"/>
      <c r="M210" s="202"/>
      <c r="N210" s="202"/>
      <c r="O210" s="202"/>
      <c r="P210" s="202"/>
      <c r="Q210" s="203"/>
    </row>
    <row r="211" spans="1:17" ht="48" x14ac:dyDescent="0.2">
      <c r="A211" s="14" t="s">
        <v>35</v>
      </c>
      <c r="B211" s="14" t="s">
        <v>36</v>
      </c>
      <c r="C211" s="126" t="s">
        <v>37</v>
      </c>
      <c r="D211" s="127"/>
      <c r="E211" s="15" t="s">
        <v>70</v>
      </c>
      <c r="F211" s="14" t="s">
        <v>39</v>
      </c>
      <c r="G211" s="14" t="s">
        <v>40</v>
      </c>
      <c r="H211" s="14" t="s">
        <v>41</v>
      </c>
      <c r="I211" s="16" t="s">
        <v>42</v>
      </c>
      <c r="J211" s="16" t="s">
        <v>43</v>
      </c>
      <c r="K211" s="14" t="s">
        <v>44</v>
      </c>
      <c r="L211" s="14" t="s">
        <v>45</v>
      </c>
      <c r="M211" s="14" t="s">
        <v>46</v>
      </c>
      <c r="N211" s="14" t="s">
        <v>47</v>
      </c>
      <c r="O211" s="14" t="s">
        <v>48</v>
      </c>
      <c r="P211" s="14" t="s">
        <v>49</v>
      </c>
      <c r="Q211" s="14" t="s">
        <v>50</v>
      </c>
    </row>
    <row r="212" spans="1:17" ht="16" x14ac:dyDescent="0.2">
      <c r="A212" s="18">
        <v>1</v>
      </c>
      <c r="B212" s="18" t="e">
        <f>_xlfn.XLOOKUP(C212,#REF!,#REF!)</f>
        <v>#REF!</v>
      </c>
      <c r="C212" s="20" t="s">
        <v>59</v>
      </c>
      <c r="D212" s="9"/>
      <c r="E212" s="24" t="e">
        <f>_xlfn.XLOOKUP(C212,#REF!,#REF!)</f>
        <v>#REF!</v>
      </c>
      <c r="F212" s="18" t="e">
        <f>_xlfn.XLOOKUP(C212,#REF!,#REF!)</f>
        <v>#REF!</v>
      </c>
      <c r="G212" s="87">
        <v>0.31512089999999998</v>
      </c>
      <c r="H212" s="42" t="e">
        <f>G212*$H$83</f>
        <v>#REF!</v>
      </c>
      <c r="I212" s="97" t="e">
        <f>_xlfn.XLOOKUP(B212,#REF!,#REF!)</f>
        <v>#REF!</v>
      </c>
      <c r="J212" s="22" t="e">
        <f t="shared" ref="J212" si="33">G212*I212</f>
        <v>#REF!</v>
      </c>
      <c r="K212" s="73" t="e">
        <f t="shared" ref="K212" si="34">H212*$J$18/1000000</f>
        <v>#REF!</v>
      </c>
      <c r="L212" s="18"/>
      <c r="M212" s="215">
        <v>1</v>
      </c>
      <c r="N212" s="215" t="s">
        <v>54</v>
      </c>
      <c r="O212" s="215" t="s">
        <v>55</v>
      </c>
      <c r="P212" s="215" t="s">
        <v>62</v>
      </c>
      <c r="Q212" s="214" t="s">
        <v>73</v>
      </c>
    </row>
    <row r="213" spans="1:17" ht="16" x14ac:dyDescent="0.2">
      <c r="A213" s="18">
        <v>2</v>
      </c>
      <c r="B213" s="18" t="e">
        <f>_xlfn.XLOOKUP(C213,#REF!,#REF!)</f>
        <v>#REF!</v>
      </c>
      <c r="C213" s="20" t="s">
        <v>119</v>
      </c>
      <c r="D213" s="9"/>
      <c r="E213" s="24" t="e">
        <f>_xlfn.XLOOKUP(C213,#REF!,#REF!)</f>
        <v>#REF!</v>
      </c>
      <c r="F213" s="18" t="e">
        <f>_xlfn.XLOOKUP(C213,#REF!,#REF!)</f>
        <v>#REF!</v>
      </c>
      <c r="G213" s="87">
        <v>6.4999999999999994E-5</v>
      </c>
      <c r="H213" s="42" t="e">
        <f t="shared" ref="H213:H259" si="35">G213*$H$83</f>
        <v>#REF!</v>
      </c>
      <c r="I213" s="97" t="e">
        <f>_xlfn.XLOOKUP(B213,#REF!,#REF!)</f>
        <v>#REF!</v>
      </c>
      <c r="J213" s="22" t="e">
        <f t="shared" ref="J213:J259" si="36">G213*I213</f>
        <v>#REF!</v>
      </c>
      <c r="K213" s="73" t="e">
        <f t="shared" ref="K213:K259" si="37">H213*$J$18/1000000</f>
        <v>#REF!</v>
      </c>
      <c r="L213" s="18"/>
      <c r="M213" s="215"/>
      <c r="N213" s="215"/>
      <c r="O213" s="215"/>
      <c r="P213" s="215"/>
      <c r="Q213" s="214"/>
    </row>
    <row r="214" spans="1:17" ht="16" x14ac:dyDescent="0.2">
      <c r="A214" s="18">
        <v>3</v>
      </c>
      <c r="B214" s="18" t="e">
        <f>_xlfn.XLOOKUP(C214,#REF!,#REF!)</f>
        <v>#REF!</v>
      </c>
      <c r="C214" s="20" t="s">
        <v>125</v>
      </c>
      <c r="D214" s="9"/>
      <c r="E214" s="24" t="e">
        <f>_xlfn.XLOOKUP(C214,#REF!,#REF!)</f>
        <v>#REF!</v>
      </c>
      <c r="F214" s="18" t="e">
        <f>_xlfn.XLOOKUP(C214,#REF!,#REF!)</f>
        <v>#REF!</v>
      </c>
      <c r="G214" s="87">
        <v>5.0000000000000002E-5</v>
      </c>
      <c r="H214" s="42" t="e">
        <f t="shared" si="35"/>
        <v>#REF!</v>
      </c>
      <c r="I214" s="97" t="e">
        <f>_xlfn.XLOOKUP(B214,#REF!,#REF!)</f>
        <v>#REF!</v>
      </c>
      <c r="J214" s="22" t="e">
        <f t="shared" si="36"/>
        <v>#REF!</v>
      </c>
      <c r="K214" s="73" t="e">
        <f t="shared" si="37"/>
        <v>#REF!</v>
      </c>
      <c r="L214" s="18"/>
      <c r="M214" s="215"/>
      <c r="N214" s="215"/>
      <c r="O214" s="215"/>
      <c r="P214" s="215"/>
      <c r="Q214" s="214"/>
    </row>
    <row r="215" spans="1:17" ht="16" x14ac:dyDescent="0.2">
      <c r="A215" s="18">
        <v>4</v>
      </c>
      <c r="B215" s="18" t="e">
        <f>_xlfn.XLOOKUP(C215,#REF!,#REF!)</f>
        <v>#REF!</v>
      </c>
      <c r="C215" s="20" t="s">
        <v>90</v>
      </c>
      <c r="D215" s="9"/>
      <c r="E215" s="24" t="e">
        <f>_xlfn.XLOOKUP(C215,#REF!,#REF!)</f>
        <v>#REF!</v>
      </c>
      <c r="F215" s="18" t="e">
        <f>_xlfn.XLOOKUP(C215,#REF!,#REF!)</f>
        <v>#REF!</v>
      </c>
      <c r="G215" s="87">
        <v>4.0821E-3</v>
      </c>
      <c r="H215" s="42" t="e">
        <f t="shared" si="35"/>
        <v>#REF!</v>
      </c>
      <c r="I215" s="97" t="e">
        <f>_xlfn.XLOOKUP(B215,#REF!,#REF!)</f>
        <v>#REF!</v>
      </c>
      <c r="J215" s="22" t="e">
        <f t="shared" si="36"/>
        <v>#REF!</v>
      </c>
      <c r="K215" s="73" t="e">
        <f t="shared" si="37"/>
        <v>#REF!</v>
      </c>
      <c r="L215" s="18"/>
      <c r="M215" s="215"/>
      <c r="N215" s="215"/>
      <c r="O215" s="215"/>
      <c r="P215" s="215"/>
      <c r="Q215" s="214"/>
    </row>
    <row r="216" spans="1:17" ht="16" x14ac:dyDescent="0.2">
      <c r="A216" s="18">
        <v>5</v>
      </c>
      <c r="B216" s="18" t="e">
        <f>_xlfn.XLOOKUP(C216,#REF!,#REF!)</f>
        <v>#REF!</v>
      </c>
      <c r="C216" s="20" t="s">
        <v>183</v>
      </c>
      <c r="D216" s="9"/>
      <c r="E216" s="24" t="e">
        <f>_xlfn.XLOOKUP(C216,#REF!,#REF!)</f>
        <v>#REF!</v>
      </c>
      <c r="F216" s="18" t="e">
        <f>_xlfn.XLOOKUP(C216,#REF!,#REF!)</f>
        <v>#REF!</v>
      </c>
      <c r="G216" s="87">
        <v>1.1180000000000001E-4</v>
      </c>
      <c r="H216" s="42" t="e">
        <f t="shared" si="35"/>
        <v>#REF!</v>
      </c>
      <c r="I216" s="97" t="e">
        <f>_xlfn.XLOOKUP(B216,#REF!,#REF!)</f>
        <v>#REF!</v>
      </c>
      <c r="J216" s="22" t="e">
        <f t="shared" si="36"/>
        <v>#REF!</v>
      </c>
      <c r="K216" s="73" t="e">
        <f t="shared" si="37"/>
        <v>#REF!</v>
      </c>
      <c r="L216" s="18"/>
      <c r="M216" s="215"/>
      <c r="N216" s="215"/>
      <c r="O216" s="215"/>
      <c r="P216" s="215"/>
      <c r="Q216" s="214"/>
    </row>
    <row r="217" spans="1:17" ht="16" x14ac:dyDescent="0.2">
      <c r="A217" s="18">
        <v>6</v>
      </c>
      <c r="B217" s="18" t="e">
        <f>_xlfn.XLOOKUP(C217,#REF!,#REF!)</f>
        <v>#REF!</v>
      </c>
      <c r="C217" s="20" t="s">
        <v>184</v>
      </c>
      <c r="D217" s="9"/>
      <c r="E217" s="24" t="e">
        <f>_xlfn.XLOOKUP(C217,#REF!,#REF!)</f>
        <v>#REF!</v>
      </c>
      <c r="F217" s="18" t="e">
        <f>_xlfn.XLOOKUP(C217,#REF!,#REF!)</f>
        <v>#REF!</v>
      </c>
      <c r="G217" s="87">
        <v>1.4999999999999999E-4</v>
      </c>
      <c r="H217" s="42" t="e">
        <f t="shared" si="35"/>
        <v>#REF!</v>
      </c>
      <c r="I217" s="97" t="e">
        <f>_xlfn.XLOOKUP(B217,#REF!,#REF!)</f>
        <v>#REF!</v>
      </c>
      <c r="J217" s="22" t="e">
        <f t="shared" si="36"/>
        <v>#REF!</v>
      </c>
      <c r="K217" s="73" t="e">
        <f t="shared" si="37"/>
        <v>#REF!</v>
      </c>
      <c r="L217" s="18"/>
      <c r="M217" s="215"/>
      <c r="N217" s="215"/>
      <c r="O217" s="215"/>
      <c r="P217" s="215"/>
      <c r="Q217" s="214"/>
    </row>
    <row r="218" spans="1:17" ht="16" x14ac:dyDescent="0.2">
      <c r="A218" s="18">
        <v>7</v>
      </c>
      <c r="B218" s="18" t="e">
        <f>_xlfn.XLOOKUP(C218,#REF!,#REF!)</f>
        <v>#REF!</v>
      </c>
      <c r="C218" s="20" t="s">
        <v>91</v>
      </c>
      <c r="D218" s="9"/>
      <c r="E218" s="24" t="e">
        <f>_xlfn.XLOOKUP(C218,#REF!,#REF!)</f>
        <v>#REF!</v>
      </c>
      <c r="F218" s="18" t="e">
        <f>_xlfn.XLOOKUP(C218,#REF!,#REF!)</f>
        <v>#REF!</v>
      </c>
      <c r="G218" s="87">
        <v>5.8300000000000001E-5</v>
      </c>
      <c r="H218" s="42" t="e">
        <f t="shared" si="35"/>
        <v>#REF!</v>
      </c>
      <c r="I218" s="97" t="e">
        <f>_xlfn.XLOOKUP(B218,#REF!,#REF!)</f>
        <v>#REF!</v>
      </c>
      <c r="J218" s="22" t="e">
        <f t="shared" si="36"/>
        <v>#REF!</v>
      </c>
      <c r="K218" s="73" t="e">
        <f t="shared" si="37"/>
        <v>#REF!</v>
      </c>
      <c r="L218" s="18"/>
      <c r="M218" s="215"/>
      <c r="N218" s="215"/>
      <c r="O218" s="215"/>
      <c r="P218" s="215"/>
      <c r="Q218" s="214"/>
    </row>
    <row r="219" spans="1:17" ht="16" x14ac:dyDescent="0.2">
      <c r="A219" s="18">
        <v>8</v>
      </c>
      <c r="B219" s="18" t="e">
        <f>_xlfn.XLOOKUP(C219,#REF!,#REF!)</f>
        <v>#REF!</v>
      </c>
      <c r="C219" s="20" t="s">
        <v>102</v>
      </c>
      <c r="D219" s="9"/>
      <c r="E219" s="24" t="s">
        <v>53</v>
      </c>
      <c r="F219" s="18" t="e">
        <f>_xlfn.XLOOKUP(C219,#REF!,#REF!)</f>
        <v>#REF!</v>
      </c>
      <c r="G219" s="87">
        <v>3.3300000000000003E-5</v>
      </c>
      <c r="H219" s="42" t="e">
        <f t="shared" si="35"/>
        <v>#REF!</v>
      </c>
      <c r="I219" s="97" t="e">
        <f>_xlfn.XLOOKUP(B219,#REF!,#REF!)</f>
        <v>#REF!</v>
      </c>
      <c r="J219" s="22" t="e">
        <f t="shared" si="36"/>
        <v>#REF!</v>
      </c>
      <c r="K219" s="73" t="e">
        <f t="shared" si="37"/>
        <v>#REF!</v>
      </c>
      <c r="L219" s="18"/>
      <c r="M219" s="215"/>
      <c r="N219" s="215"/>
      <c r="O219" s="215"/>
      <c r="P219" s="215"/>
      <c r="Q219" s="214"/>
    </row>
    <row r="220" spans="1:17" ht="16" x14ac:dyDescent="0.2">
      <c r="A220" s="18">
        <v>9</v>
      </c>
      <c r="B220" s="18" t="e">
        <f>_xlfn.XLOOKUP(C220,#REF!,#REF!)</f>
        <v>#REF!</v>
      </c>
      <c r="C220" s="20" t="s">
        <v>117</v>
      </c>
      <c r="D220" s="9"/>
      <c r="E220" s="24" t="e">
        <f>_xlfn.XLOOKUP(C220,#REF!,#REF!)</f>
        <v>#REF!</v>
      </c>
      <c r="F220" s="18" t="e">
        <f>_xlfn.XLOOKUP(C220,#REF!,#REF!)</f>
        <v>#REF!</v>
      </c>
      <c r="G220" s="87">
        <v>5.0000000000000002E-5</v>
      </c>
      <c r="H220" s="42" t="e">
        <f t="shared" si="35"/>
        <v>#REF!</v>
      </c>
      <c r="I220" s="97" t="e">
        <f>_xlfn.XLOOKUP(B220,#REF!,#REF!)</f>
        <v>#REF!</v>
      </c>
      <c r="J220" s="22" t="e">
        <f t="shared" si="36"/>
        <v>#REF!</v>
      </c>
      <c r="K220" s="73" t="e">
        <f t="shared" si="37"/>
        <v>#REF!</v>
      </c>
      <c r="L220" s="18"/>
      <c r="M220" s="215"/>
      <c r="N220" s="215"/>
      <c r="O220" s="215"/>
      <c r="P220" s="215"/>
      <c r="Q220" s="214"/>
    </row>
    <row r="221" spans="1:17" ht="16" x14ac:dyDescent="0.2">
      <c r="A221" s="18">
        <v>10</v>
      </c>
      <c r="B221" s="18" t="e">
        <f>_xlfn.XLOOKUP(C221,#REF!,#REF!)</f>
        <v>#REF!</v>
      </c>
      <c r="C221" s="20" t="s">
        <v>101</v>
      </c>
      <c r="D221" s="9"/>
      <c r="E221" s="24" t="e">
        <f>_xlfn.XLOOKUP(C221,#REF!,#REF!)</f>
        <v>#REF!</v>
      </c>
      <c r="F221" s="18" t="e">
        <f>_xlfn.XLOOKUP(C221,#REF!,#REF!)</f>
        <v>#REF!</v>
      </c>
      <c r="G221" s="87">
        <v>4.1700000000000004E-5</v>
      </c>
      <c r="H221" s="42" t="e">
        <f t="shared" si="35"/>
        <v>#REF!</v>
      </c>
      <c r="I221" s="97" t="e">
        <f>_xlfn.XLOOKUP(B221,#REF!,#REF!)</f>
        <v>#REF!</v>
      </c>
      <c r="J221" s="22" t="e">
        <f t="shared" si="36"/>
        <v>#REF!</v>
      </c>
      <c r="K221" s="73" t="e">
        <f t="shared" si="37"/>
        <v>#REF!</v>
      </c>
      <c r="L221" s="18"/>
      <c r="M221" s="215">
        <v>2</v>
      </c>
      <c r="N221" s="215" t="s">
        <v>54</v>
      </c>
      <c r="O221" s="215"/>
      <c r="P221" s="215"/>
      <c r="Q221" s="214"/>
    </row>
    <row r="222" spans="1:17" ht="16" x14ac:dyDescent="0.2">
      <c r="A222" s="18">
        <v>11</v>
      </c>
      <c r="B222" s="18" t="e">
        <f>_xlfn.XLOOKUP(C222,#REF!,#REF!)</f>
        <v>#REF!</v>
      </c>
      <c r="C222" s="20" t="s">
        <v>136</v>
      </c>
      <c r="D222" s="9"/>
      <c r="E222" s="24" t="e">
        <f>_xlfn.XLOOKUP(C222,#REF!,#REF!)</f>
        <v>#REF!</v>
      </c>
      <c r="F222" s="18" t="e">
        <f>_xlfn.XLOOKUP(C222,#REF!,#REF!)</f>
        <v>#REF!</v>
      </c>
      <c r="G222" s="87">
        <v>3.1700000000000001E-4</v>
      </c>
      <c r="H222" s="42" t="e">
        <f t="shared" si="35"/>
        <v>#REF!</v>
      </c>
      <c r="I222" s="97" t="e">
        <f>_xlfn.XLOOKUP(B222,#REF!,#REF!)</f>
        <v>#REF!</v>
      </c>
      <c r="J222" s="22" t="e">
        <f t="shared" si="36"/>
        <v>#REF!</v>
      </c>
      <c r="K222" s="73" t="e">
        <f t="shared" si="37"/>
        <v>#REF!</v>
      </c>
      <c r="L222" s="18"/>
      <c r="M222" s="215"/>
      <c r="N222" s="215"/>
      <c r="O222" s="215"/>
      <c r="P222" s="215"/>
      <c r="Q222" s="214"/>
    </row>
    <row r="223" spans="1:17" ht="16" x14ac:dyDescent="0.2">
      <c r="A223" s="18">
        <v>12</v>
      </c>
      <c r="B223" s="18" t="e">
        <f>_xlfn.XLOOKUP(C223,#REF!,#REF!)</f>
        <v>#REF!</v>
      </c>
      <c r="C223" s="20" t="s">
        <v>148</v>
      </c>
      <c r="D223" s="9"/>
      <c r="E223" s="24" t="e">
        <f>_xlfn.XLOOKUP(C223,#REF!,#REF!)</f>
        <v>#REF!</v>
      </c>
      <c r="F223" s="18" t="e">
        <f>_xlfn.XLOOKUP(C223,#REF!,#REF!)</f>
        <v>#REF!</v>
      </c>
      <c r="G223" s="87">
        <v>0.26149169999999999</v>
      </c>
      <c r="H223" s="42" t="e">
        <f t="shared" si="35"/>
        <v>#REF!</v>
      </c>
      <c r="I223" s="97" t="e">
        <f>_xlfn.XLOOKUP(B223,#REF!,#REF!)</f>
        <v>#REF!</v>
      </c>
      <c r="J223" s="22" t="e">
        <f t="shared" si="36"/>
        <v>#REF!</v>
      </c>
      <c r="K223" s="73" t="e">
        <f t="shared" si="37"/>
        <v>#REF!</v>
      </c>
      <c r="L223" s="18"/>
      <c r="M223" s="215"/>
      <c r="N223" s="215"/>
      <c r="O223" s="215"/>
      <c r="P223" s="215"/>
      <c r="Q223" s="214"/>
    </row>
    <row r="224" spans="1:17" ht="16" x14ac:dyDescent="0.2">
      <c r="A224" s="18">
        <v>13</v>
      </c>
      <c r="B224" s="18" t="e">
        <f>_xlfn.XLOOKUP(C224,#REF!,#REF!)</f>
        <v>#REF!</v>
      </c>
      <c r="C224" s="20" t="s">
        <v>123</v>
      </c>
      <c r="D224" s="9"/>
      <c r="E224" s="24" t="e">
        <f>_xlfn.XLOOKUP(C224,#REF!,#REF!)</f>
        <v>#REF!</v>
      </c>
      <c r="F224" s="18"/>
      <c r="G224" s="87">
        <v>1E-3</v>
      </c>
      <c r="H224" s="42" t="e">
        <f t="shared" si="35"/>
        <v>#REF!</v>
      </c>
      <c r="I224" s="97" t="e">
        <f>_xlfn.XLOOKUP(B224,#REF!,#REF!)</f>
        <v>#REF!</v>
      </c>
      <c r="J224" s="22" t="e">
        <f t="shared" si="36"/>
        <v>#REF!</v>
      </c>
      <c r="K224" s="73" t="e">
        <f t="shared" si="37"/>
        <v>#REF!</v>
      </c>
      <c r="L224" s="18"/>
      <c r="M224" s="215"/>
      <c r="N224" s="215"/>
      <c r="O224" s="215"/>
      <c r="P224" s="215"/>
      <c r="Q224" s="214"/>
    </row>
    <row r="225" spans="1:17" ht="16" x14ac:dyDescent="0.2">
      <c r="A225" s="18">
        <v>14</v>
      </c>
      <c r="B225" s="18" t="e">
        <f>_xlfn.XLOOKUP(C225,#REF!,#REF!)</f>
        <v>#REF!</v>
      </c>
      <c r="C225" s="20" t="s">
        <v>95</v>
      </c>
      <c r="D225" s="9"/>
      <c r="E225" s="24" t="e">
        <f>_xlfn.XLOOKUP(C225,#REF!,#REF!)</f>
        <v>#REF!</v>
      </c>
      <c r="F225" s="18"/>
      <c r="G225" s="87">
        <v>1E-3</v>
      </c>
      <c r="H225" s="42" t="e">
        <f t="shared" si="35"/>
        <v>#REF!</v>
      </c>
      <c r="I225" s="97" t="e">
        <f>_xlfn.XLOOKUP(B225,#REF!,#REF!)</f>
        <v>#REF!</v>
      </c>
      <c r="J225" s="22" t="e">
        <f t="shared" si="36"/>
        <v>#REF!</v>
      </c>
      <c r="K225" s="73" t="e">
        <f t="shared" si="37"/>
        <v>#REF!</v>
      </c>
      <c r="L225" s="18"/>
      <c r="M225" s="215"/>
      <c r="N225" s="215"/>
      <c r="O225" s="215"/>
      <c r="P225" s="215"/>
      <c r="Q225" s="214"/>
    </row>
    <row r="226" spans="1:17" ht="16" x14ac:dyDescent="0.2">
      <c r="A226" s="18">
        <v>15</v>
      </c>
      <c r="B226" s="18" t="e">
        <f>_xlfn.XLOOKUP(C226,#REF!,#REF!)</f>
        <v>#REF!</v>
      </c>
      <c r="C226" s="20" t="s">
        <v>124</v>
      </c>
      <c r="D226" s="9"/>
      <c r="E226" s="24" t="e">
        <f>_xlfn.XLOOKUP(C226,#REF!,#REF!)</f>
        <v>#REF!</v>
      </c>
      <c r="F226" s="18"/>
      <c r="G226" s="87">
        <v>1E-3</v>
      </c>
      <c r="H226" s="42" t="e">
        <f t="shared" si="35"/>
        <v>#REF!</v>
      </c>
      <c r="I226" s="97" t="e">
        <f>_xlfn.XLOOKUP(B226,#REF!,#REF!)</f>
        <v>#REF!</v>
      </c>
      <c r="J226" s="22" t="e">
        <f t="shared" si="36"/>
        <v>#REF!</v>
      </c>
      <c r="K226" s="73" t="e">
        <f t="shared" si="37"/>
        <v>#REF!</v>
      </c>
      <c r="L226" s="18"/>
      <c r="M226" s="215"/>
      <c r="N226" s="215"/>
      <c r="O226" s="215"/>
      <c r="P226" s="215"/>
      <c r="Q226" s="214"/>
    </row>
    <row r="227" spans="1:17" ht="16" x14ac:dyDescent="0.2">
      <c r="A227" s="18">
        <v>16</v>
      </c>
      <c r="B227" s="18" t="e">
        <f>_xlfn.XLOOKUP(C227,#REF!,#REF!)</f>
        <v>#REF!</v>
      </c>
      <c r="C227" s="20" t="s">
        <v>128</v>
      </c>
      <c r="D227" s="9"/>
      <c r="E227" s="24" t="s">
        <v>53</v>
      </c>
      <c r="F227" s="18" t="e">
        <f>_xlfn.XLOOKUP(C227,#REF!,#REF!)</f>
        <v>#REF!</v>
      </c>
      <c r="G227" s="87">
        <v>1.5E-3</v>
      </c>
      <c r="H227" s="42" t="e">
        <f t="shared" si="35"/>
        <v>#REF!</v>
      </c>
      <c r="I227" s="97" t="e">
        <f>_xlfn.XLOOKUP(B227,#REF!,#REF!)</f>
        <v>#REF!</v>
      </c>
      <c r="J227" s="22" t="e">
        <f t="shared" si="36"/>
        <v>#REF!</v>
      </c>
      <c r="K227" s="73" t="e">
        <f t="shared" si="37"/>
        <v>#REF!</v>
      </c>
      <c r="L227" s="18"/>
      <c r="M227" s="215"/>
      <c r="N227" s="215"/>
      <c r="O227" s="215"/>
      <c r="P227" s="215"/>
      <c r="Q227" s="214"/>
    </row>
    <row r="228" spans="1:17" ht="16" x14ac:dyDescent="0.2">
      <c r="A228" s="18">
        <v>17</v>
      </c>
      <c r="B228" s="18" t="e">
        <f>_xlfn.XLOOKUP(C228,#REF!,#REF!)</f>
        <v>#REF!</v>
      </c>
      <c r="C228" s="20" t="s">
        <v>172</v>
      </c>
      <c r="D228" s="9"/>
      <c r="E228" s="24" t="s">
        <v>53</v>
      </c>
      <c r="F228" s="18" t="e">
        <f>_xlfn.XLOOKUP(C228,#REF!,#REF!)</f>
        <v>#REF!</v>
      </c>
      <c r="G228" s="87">
        <v>1E-3</v>
      </c>
      <c r="H228" s="42" t="e">
        <f t="shared" si="35"/>
        <v>#REF!</v>
      </c>
      <c r="I228" s="97" t="e">
        <f>_xlfn.XLOOKUP(B228,#REF!,#REF!)</f>
        <v>#REF!</v>
      </c>
      <c r="J228" s="22" t="e">
        <f t="shared" si="36"/>
        <v>#REF!</v>
      </c>
      <c r="K228" s="73" t="e">
        <f t="shared" si="37"/>
        <v>#REF!</v>
      </c>
      <c r="L228" s="18"/>
      <c r="M228" s="215"/>
      <c r="N228" s="215"/>
      <c r="O228" s="215"/>
      <c r="P228" s="215"/>
      <c r="Q228" s="214"/>
    </row>
    <row r="229" spans="1:17" ht="16" x14ac:dyDescent="0.2">
      <c r="A229" s="18">
        <v>18</v>
      </c>
      <c r="B229" s="18" t="e">
        <f>_xlfn.XLOOKUP(C229,#REF!,#REF!)</f>
        <v>#REF!</v>
      </c>
      <c r="C229" s="20" t="s">
        <v>176</v>
      </c>
      <c r="D229" s="9"/>
      <c r="E229" s="24" t="s">
        <v>53</v>
      </c>
      <c r="F229" s="18" t="e">
        <f>_xlfn.XLOOKUP(C229,#REF!,#REF!)</f>
        <v>#REF!</v>
      </c>
      <c r="G229" s="87">
        <v>1E-3</v>
      </c>
      <c r="H229" s="42" t="e">
        <f t="shared" si="35"/>
        <v>#REF!</v>
      </c>
      <c r="I229" s="97" t="e">
        <f>_xlfn.XLOOKUP(B229,#REF!,#REF!)</f>
        <v>#REF!</v>
      </c>
      <c r="J229" s="22" t="e">
        <f t="shared" si="36"/>
        <v>#REF!</v>
      </c>
      <c r="K229" s="73" t="e">
        <f t="shared" si="37"/>
        <v>#REF!</v>
      </c>
      <c r="L229" s="18"/>
      <c r="M229" s="215"/>
      <c r="N229" s="215"/>
      <c r="O229" s="215"/>
      <c r="P229" s="215"/>
      <c r="Q229" s="214"/>
    </row>
    <row r="230" spans="1:17" ht="16" x14ac:dyDescent="0.2">
      <c r="A230" s="18">
        <v>19</v>
      </c>
      <c r="B230" s="18" t="e">
        <f>_xlfn.XLOOKUP(C230,#REF!,#REF!)</f>
        <v>#REF!</v>
      </c>
      <c r="C230" s="20" t="s">
        <v>177</v>
      </c>
      <c r="D230" s="9"/>
      <c r="E230" s="24" t="s">
        <v>53</v>
      </c>
      <c r="F230" s="18" t="e">
        <f>_xlfn.XLOOKUP(C230,#REF!,#REF!)</f>
        <v>#REF!</v>
      </c>
      <c r="G230" s="87">
        <v>2E-3</v>
      </c>
      <c r="H230" s="42" t="e">
        <f t="shared" si="35"/>
        <v>#REF!</v>
      </c>
      <c r="I230" s="97" t="e">
        <f>_xlfn.XLOOKUP(B230,#REF!,#REF!)</f>
        <v>#REF!</v>
      </c>
      <c r="J230" s="22" t="e">
        <f t="shared" si="36"/>
        <v>#REF!</v>
      </c>
      <c r="K230" s="73" t="e">
        <f t="shared" si="37"/>
        <v>#REF!</v>
      </c>
      <c r="L230" s="18"/>
      <c r="M230" s="215"/>
      <c r="N230" s="215"/>
      <c r="O230" s="215"/>
      <c r="P230" s="215"/>
      <c r="Q230" s="214"/>
    </row>
    <row r="231" spans="1:17" ht="16" x14ac:dyDescent="0.2">
      <c r="A231" s="18">
        <v>20</v>
      </c>
      <c r="B231" s="18" t="e">
        <f>_xlfn.XLOOKUP(C231,#REF!,#REF!)</f>
        <v>#REF!</v>
      </c>
      <c r="C231" s="20" t="s">
        <v>190</v>
      </c>
      <c r="D231" s="9"/>
      <c r="E231" s="24" t="s">
        <v>53</v>
      </c>
      <c r="F231" s="18" t="e">
        <f>_xlfn.XLOOKUP(C231,#REF!,#REF!)</f>
        <v>#REF!</v>
      </c>
      <c r="G231" s="87">
        <v>1E-3</v>
      </c>
      <c r="H231" s="42" t="e">
        <f t="shared" si="35"/>
        <v>#REF!</v>
      </c>
      <c r="I231" s="97" t="e">
        <f>_xlfn.XLOOKUP(B231,#REF!,#REF!)</f>
        <v>#REF!</v>
      </c>
      <c r="J231" s="22" t="e">
        <f t="shared" si="36"/>
        <v>#REF!</v>
      </c>
      <c r="K231" s="73" t="e">
        <f t="shared" si="37"/>
        <v>#REF!</v>
      </c>
      <c r="L231" s="18"/>
      <c r="M231" s="215"/>
      <c r="N231" s="215"/>
      <c r="O231" s="215"/>
      <c r="P231" s="215"/>
      <c r="Q231" s="214"/>
    </row>
    <row r="232" spans="1:17" ht="16" x14ac:dyDescent="0.2">
      <c r="A232" s="18">
        <v>21</v>
      </c>
      <c r="B232" s="18" t="e">
        <f>_xlfn.XLOOKUP(C232,#REF!,#REF!)</f>
        <v>#REF!</v>
      </c>
      <c r="C232" s="20" t="s">
        <v>191</v>
      </c>
      <c r="D232" s="9"/>
      <c r="E232" s="24" t="s">
        <v>53</v>
      </c>
      <c r="F232" s="18" t="e">
        <f>_xlfn.XLOOKUP(C232,#REF!,#REF!)</f>
        <v>#REF!</v>
      </c>
      <c r="G232" s="87">
        <v>1E-3</v>
      </c>
      <c r="H232" s="42" t="e">
        <f t="shared" si="35"/>
        <v>#REF!</v>
      </c>
      <c r="I232" s="97" t="e">
        <f>_xlfn.XLOOKUP(B232,#REF!,#REF!)</f>
        <v>#REF!</v>
      </c>
      <c r="J232" s="22" t="e">
        <f t="shared" si="36"/>
        <v>#REF!</v>
      </c>
      <c r="K232" s="73" t="e">
        <f t="shared" si="37"/>
        <v>#REF!</v>
      </c>
      <c r="L232" s="18"/>
      <c r="M232" s="215"/>
      <c r="N232" s="215"/>
      <c r="O232" s="215"/>
      <c r="P232" s="215"/>
      <c r="Q232" s="214"/>
    </row>
    <row r="233" spans="1:17" ht="16" x14ac:dyDescent="0.2">
      <c r="A233" s="18">
        <v>22</v>
      </c>
      <c r="B233" s="18" t="e">
        <f>_xlfn.XLOOKUP(C233,#REF!,#REF!)</f>
        <v>#REF!</v>
      </c>
      <c r="C233" s="20" t="s">
        <v>197</v>
      </c>
      <c r="D233" s="9"/>
      <c r="E233" s="24" t="s">
        <v>53</v>
      </c>
      <c r="F233" s="18" t="e">
        <f>_xlfn.XLOOKUP(C233,#REF!,#REF!)</f>
        <v>#REF!</v>
      </c>
      <c r="G233" s="87">
        <v>1E-3</v>
      </c>
      <c r="H233" s="42" t="e">
        <f t="shared" si="35"/>
        <v>#REF!</v>
      </c>
      <c r="I233" s="97" t="e">
        <f>_xlfn.XLOOKUP(B233,#REF!,#REF!)</f>
        <v>#REF!</v>
      </c>
      <c r="J233" s="22" t="e">
        <f t="shared" si="36"/>
        <v>#REF!</v>
      </c>
      <c r="K233" s="73" t="e">
        <f t="shared" si="37"/>
        <v>#REF!</v>
      </c>
      <c r="L233" s="18"/>
      <c r="M233" s="215"/>
      <c r="N233" s="215"/>
      <c r="O233" s="215"/>
      <c r="P233" s="215"/>
      <c r="Q233" s="214"/>
    </row>
    <row r="234" spans="1:17" ht="16" x14ac:dyDescent="0.2">
      <c r="A234" s="18">
        <v>23</v>
      </c>
      <c r="B234" s="18" t="e">
        <f>_xlfn.XLOOKUP(C234,#REF!,#REF!)</f>
        <v>#REF!</v>
      </c>
      <c r="C234" s="20" t="s">
        <v>198</v>
      </c>
      <c r="D234" s="9"/>
      <c r="E234" s="24" t="s">
        <v>53</v>
      </c>
      <c r="F234" s="18" t="e">
        <f>_xlfn.XLOOKUP(C234,#REF!,#REF!)</f>
        <v>#REF!</v>
      </c>
      <c r="G234" s="87">
        <v>2E-3</v>
      </c>
      <c r="H234" s="42" t="e">
        <f t="shared" si="35"/>
        <v>#REF!</v>
      </c>
      <c r="I234" s="97" t="e">
        <f>_xlfn.XLOOKUP(B234,#REF!,#REF!)</f>
        <v>#REF!</v>
      </c>
      <c r="J234" s="22" t="e">
        <f t="shared" si="36"/>
        <v>#REF!</v>
      </c>
      <c r="K234" s="73" t="e">
        <f t="shared" si="37"/>
        <v>#REF!</v>
      </c>
      <c r="L234" s="18"/>
      <c r="M234" s="215"/>
      <c r="N234" s="215"/>
      <c r="O234" s="215"/>
      <c r="P234" s="215"/>
      <c r="Q234" s="214"/>
    </row>
    <row r="235" spans="1:17" ht="16" x14ac:dyDescent="0.2">
      <c r="A235" s="18">
        <v>24</v>
      </c>
      <c r="B235" s="18" t="e">
        <f>_xlfn.XLOOKUP(C235,#REF!,#REF!)</f>
        <v>#REF!</v>
      </c>
      <c r="C235" s="20" t="s">
        <v>94</v>
      </c>
      <c r="D235" s="9"/>
      <c r="E235" s="24" t="e">
        <f>_xlfn.XLOOKUP(C235,#REF!,#REF!)</f>
        <v>#REF!</v>
      </c>
      <c r="F235" s="18" t="e">
        <f>_xlfn.XLOOKUP(C235,#REF!,#REF!)</f>
        <v>#REF!</v>
      </c>
      <c r="G235" s="87">
        <v>2.5000000000000001E-2</v>
      </c>
      <c r="H235" s="42" t="e">
        <f t="shared" si="35"/>
        <v>#REF!</v>
      </c>
      <c r="I235" s="97" t="e">
        <f>_xlfn.XLOOKUP(B235,#REF!,#REF!)</f>
        <v>#REF!</v>
      </c>
      <c r="J235" s="22" t="e">
        <f t="shared" si="36"/>
        <v>#REF!</v>
      </c>
      <c r="K235" s="73" t="e">
        <f t="shared" si="37"/>
        <v>#REF!</v>
      </c>
      <c r="L235" s="18"/>
      <c r="M235" s="215"/>
      <c r="N235" s="215"/>
      <c r="O235" s="215"/>
      <c r="P235" s="215"/>
      <c r="Q235" s="214"/>
    </row>
    <row r="236" spans="1:17" ht="16" x14ac:dyDescent="0.2">
      <c r="A236" s="18">
        <v>25</v>
      </c>
      <c r="B236" s="18" t="e">
        <f>_xlfn.XLOOKUP(C236,#REF!,#REF!)</f>
        <v>#REF!</v>
      </c>
      <c r="C236" s="20" t="s">
        <v>140</v>
      </c>
      <c r="D236" s="9"/>
      <c r="E236" s="24" t="e">
        <f>_xlfn.XLOOKUP(C236,#REF!,#REF!)</f>
        <v>#REF!</v>
      </c>
      <c r="F236" s="18" t="e">
        <f>_xlfn.XLOOKUP(C236,#REF!,#REF!)</f>
        <v>#REF!</v>
      </c>
      <c r="G236" s="87">
        <v>0.05</v>
      </c>
      <c r="H236" s="42" t="e">
        <f t="shared" si="35"/>
        <v>#REF!</v>
      </c>
      <c r="I236" s="97" t="e">
        <f>_xlfn.XLOOKUP(B236,#REF!,#REF!)</f>
        <v>#REF!</v>
      </c>
      <c r="J236" s="22" t="e">
        <f t="shared" si="36"/>
        <v>#REF!</v>
      </c>
      <c r="K236" s="73" t="e">
        <f t="shared" si="37"/>
        <v>#REF!</v>
      </c>
      <c r="L236" s="18"/>
      <c r="M236" s="215"/>
      <c r="N236" s="215"/>
      <c r="O236" s="215"/>
      <c r="P236" s="215"/>
      <c r="Q236" s="214"/>
    </row>
    <row r="237" spans="1:17" ht="16" x14ac:dyDescent="0.2">
      <c r="A237" s="18">
        <v>26</v>
      </c>
      <c r="B237" s="18" t="e">
        <f>_xlfn.XLOOKUP(C237,#REF!,#REF!)</f>
        <v>#REF!</v>
      </c>
      <c r="C237" s="20" t="s">
        <v>104</v>
      </c>
      <c r="D237" s="9"/>
      <c r="E237" s="24" t="e">
        <f>_xlfn.XLOOKUP(C237,#REF!,#REF!)</f>
        <v>#REF!</v>
      </c>
      <c r="F237" s="18" t="e">
        <f>_xlfn.XLOOKUP(C237,#REF!,#REF!)</f>
        <v>#REF!</v>
      </c>
      <c r="G237" s="87">
        <v>8.3000000000000002E-6</v>
      </c>
      <c r="H237" s="42" t="e">
        <f t="shared" si="35"/>
        <v>#REF!</v>
      </c>
      <c r="I237" s="97" t="e">
        <f>_xlfn.XLOOKUP(B237,#REF!,#REF!)</f>
        <v>#REF!</v>
      </c>
      <c r="J237" s="22" t="e">
        <f t="shared" si="36"/>
        <v>#REF!</v>
      </c>
      <c r="K237" s="73" t="e">
        <f t="shared" si="37"/>
        <v>#REF!</v>
      </c>
      <c r="L237" s="18"/>
      <c r="M237" s="215"/>
      <c r="N237" s="215"/>
      <c r="O237" s="215"/>
      <c r="P237" s="215"/>
      <c r="Q237" s="214"/>
    </row>
    <row r="238" spans="1:17" ht="16" x14ac:dyDescent="0.2">
      <c r="A238" s="18">
        <v>27</v>
      </c>
      <c r="B238" s="18" t="e">
        <f>_xlfn.XLOOKUP(C238,#REF!,#REF!)</f>
        <v>#REF!</v>
      </c>
      <c r="C238" s="20" t="s">
        <v>106</v>
      </c>
      <c r="D238" s="9"/>
      <c r="E238" s="24" t="e">
        <f>_xlfn.XLOOKUP(C238,#REF!,#REF!)</f>
        <v>#REF!</v>
      </c>
      <c r="F238" s="18" t="e">
        <f>_xlfn.XLOOKUP(C238,#REF!,#REF!)</f>
        <v>#REF!</v>
      </c>
      <c r="G238" s="87">
        <v>4.6666999999999993E-3</v>
      </c>
      <c r="H238" s="42" t="e">
        <f t="shared" si="35"/>
        <v>#REF!</v>
      </c>
      <c r="I238" s="97" t="e">
        <f>_xlfn.XLOOKUP(B238,#REF!,#REF!)</f>
        <v>#REF!</v>
      </c>
      <c r="J238" s="22" t="e">
        <f t="shared" si="36"/>
        <v>#REF!</v>
      </c>
      <c r="K238" s="73" t="e">
        <f t="shared" si="37"/>
        <v>#REF!</v>
      </c>
      <c r="L238" s="18"/>
      <c r="M238" s="215"/>
      <c r="N238" s="215"/>
      <c r="O238" s="215"/>
      <c r="P238" s="215"/>
      <c r="Q238" s="214"/>
    </row>
    <row r="239" spans="1:17" ht="16" x14ac:dyDescent="0.2">
      <c r="A239" s="18">
        <v>28</v>
      </c>
      <c r="B239" s="18" t="e">
        <f>_xlfn.XLOOKUP(C239,#REF!,#REF!)</f>
        <v>#REF!</v>
      </c>
      <c r="C239" s="20" t="s">
        <v>130</v>
      </c>
      <c r="D239" s="9"/>
      <c r="E239" s="24" t="e">
        <f>_xlfn.XLOOKUP(C239,#REF!,#REF!)</f>
        <v>#REF!</v>
      </c>
      <c r="F239" s="18" t="e">
        <f>_xlfn.XLOOKUP(C239,#REF!,#REF!)</f>
        <v>#REF!</v>
      </c>
      <c r="G239" s="87">
        <v>5.9999999999999995E-4</v>
      </c>
      <c r="H239" s="42" t="e">
        <f t="shared" si="35"/>
        <v>#REF!</v>
      </c>
      <c r="I239" s="97" t="e">
        <f>_xlfn.XLOOKUP(B239,#REF!,#REF!)</f>
        <v>#REF!</v>
      </c>
      <c r="J239" s="22" t="e">
        <f t="shared" si="36"/>
        <v>#REF!</v>
      </c>
      <c r="K239" s="73" t="e">
        <f t="shared" si="37"/>
        <v>#REF!</v>
      </c>
      <c r="L239" s="18"/>
      <c r="M239" s="215"/>
      <c r="N239" s="215"/>
      <c r="O239" s="215"/>
      <c r="P239" s="215"/>
      <c r="Q239" s="214"/>
    </row>
    <row r="240" spans="1:17" ht="16" x14ac:dyDescent="0.2">
      <c r="A240" s="18">
        <v>29</v>
      </c>
      <c r="B240" s="18" t="e">
        <f>_xlfn.XLOOKUP(C240,#REF!,#REF!)</f>
        <v>#REF!</v>
      </c>
      <c r="C240" s="20" t="s">
        <v>131</v>
      </c>
      <c r="D240" s="9"/>
      <c r="E240" s="24" t="e">
        <f>_xlfn.XLOOKUP(C240,#REF!,#REF!)</f>
        <v>#REF!</v>
      </c>
      <c r="F240" s="18" t="e">
        <f>_xlfn.XLOOKUP(C240,#REF!,#REF!)</f>
        <v>#REF!</v>
      </c>
      <c r="G240" s="87">
        <v>5.0000000000000002E-5</v>
      </c>
      <c r="H240" s="42" t="e">
        <f t="shared" si="35"/>
        <v>#REF!</v>
      </c>
      <c r="I240" s="97" t="e">
        <f>_xlfn.XLOOKUP(B240,#REF!,#REF!)</f>
        <v>#REF!</v>
      </c>
      <c r="J240" s="22" t="e">
        <f t="shared" si="36"/>
        <v>#REF!</v>
      </c>
      <c r="K240" s="73" t="e">
        <f t="shared" si="37"/>
        <v>#REF!</v>
      </c>
      <c r="L240" s="18"/>
      <c r="M240" s="215"/>
      <c r="N240" s="215"/>
      <c r="O240" s="215"/>
      <c r="P240" s="215"/>
      <c r="Q240" s="214"/>
    </row>
    <row r="241" spans="1:17" ht="16" x14ac:dyDescent="0.2">
      <c r="A241" s="18">
        <v>30</v>
      </c>
      <c r="B241" s="18" t="e">
        <f>_xlfn.XLOOKUP(C241,#REF!,#REF!)</f>
        <v>#REF!</v>
      </c>
      <c r="C241" s="20" t="s">
        <v>132</v>
      </c>
      <c r="D241" s="9"/>
      <c r="E241" s="24" t="e">
        <f>_xlfn.XLOOKUP(C241,#REF!,#REF!)</f>
        <v>#REF!</v>
      </c>
      <c r="F241" s="18" t="e">
        <f>_xlfn.XLOOKUP(C241,#REF!,#REF!)</f>
        <v>#REF!</v>
      </c>
      <c r="G241" s="87">
        <v>2.5000000000000001E-3</v>
      </c>
      <c r="H241" s="42" t="e">
        <f t="shared" si="35"/>
        <v>#REF!</v>
      </c>
      <c r="I241" s="97" t="e">
        <f>_xlfn.XLOOKUP(B241,#REF!,#REF!)</f>
        <v>#REF!</v>
      </c>
      <c r="J241" s="22" t="e">
        <f t="shared" si="36"/>
        <v>#REF!</v>
      </c>
      <c r="K241" s="73" t="e">
        <f t="shared" si="37"/>
        <v>#REF!</v>
      </c>
      <c r="L241" s="18"/>
      <c r="M241" s="215"/>
      <c r="N241" s="215"/>
      <c r="O241" s="215"/>
      <c r="P241" s="215"/>
      <c r="Q241" s="214"/>
    </row>
    <row r="242" spans="1:17" ht="16" x14ac:dyDescent="0.2">
      <c r="A242" s="18">
        <v>31</v>
      </c>
      <c r="B242" s="18" t="e">
        <f>_xlfn.XLOOKUP(C242,#REF!,#REF!)</f>
        <v>#REF!</v>
      </c>
      <c r="C242" s="20" t="s">
        <v>107</v>
      </c>
      <c r="D242" s="9"/>
      <c r="E242" s="24" t="e">
        <f>_xlfn.XLOOKUP(C242,#REF!,#REF!)</f>
        <v>#REF!</v>
      </c>
      <c r="F242" s="18" t="e">
        <f>_xlfn.XLOOKUP(C242,#REF!,#REF!)</f>
        <v>#REF!</v>
      </c>
      <c r="G242" s="87">
        <v>5.8300000000000001E-5</v>
      </c>
      <c r="H242" s="42" t="e">
        <f t="shared" si="35"/>
        <v>#REF!</v>
      </c>
      <c r="I242" s="97" t="e">
        <f>_xlfn.XLOOKUP(B242,#REF!,#REF!)</f>
        <v>#REF!</v>
      </c>
      <c r="J242" s="22" t="e">
        <f t="shared" si="36"/>
        <v>#REF!</v>
      </c>
      <c r="K242" s="73" t="e">
        <f t="shared" si="37"/>
        <v>#REF!</v>
      </c>
      <c r="L242" s="18"/>
      <c r="M242" s="215"/>
      <c r="N242" s="215"/>
      <c r="O242" s="215"/>
      <c r="P242" s="215"/>
      <c r="Q242" s="214"/>
    </row>
    <row r="243" spans="1:17" ht="16" x14ac:dyDescent="0.2">
      <c r="A243" s="18">
        <v>32</v>
      </c>
      <c r="B243" s="18" t="e">
        <f>_xlfn.XLOOKUP(C243,#REF!,#REF!)</f>
        <v>#REF!</v>
      </c>
      <c r="C243" s="20" t="s">
        <v>109</v>
      </c>
      <c r="D243" s="9"/>
      <c r="E243" s="24" t="e">
        <f>_xlfn.XLOOKUP(C243,#REF!,#REF!)</f>
        <v>#REF!</v>
      </c>
      <c r="F243" s="18" t="e">
        <f>_xlfn.XLOOKUP(C243,#REF!,#REF!)</f>
        <v>#REF!</v>
      </c>
      <c r="G243" s="87">
        <v>2.0832999999999997E-3</v>
      </c>
      <c r="H243" s="42" t="e">
        <f t="shared" si="35"/>
        <v>#REF!</v>
      </c>
      <c r="I243" s="97" t="e">
        <f>_xlfn.XLOOKUP(B243,#REF!,#REF!)</f>
        <v>#REF!</v>
      </c>
      <c r="J243" s="22" t="e">
        <f t="shared" si="36"/>
        <v>#REF!</v>
      </c>
      <c r="K243" s="73" t="e">
        <f t="shared" si="37"/>
        <v>#REF!</v>
      </c>
      <c r="L243" s="18"/>
      <c r="M243" s="215"/>
      <c r="N243" s="215"/>
      <c r="O243" s="215"/>
      <c r="P243" s="215"/>
      <c r="Q243" s="214"/>
    </row>
    <row r="244" spans="1:17" ht="16" x14ac:dyDescent="0.2">
      <c r="A244" s="18">
        <v>33</v>
      </c>
      <c r="B244" s="18" t="e">
        <f>_xlfn.XLOOKUP(C244,#REF!,#REF!)</f>
        <v>#REF!</v>
      </c>
      <c r="C244" s="20" t="s">
        <v>138</v>
      </c>
      <c r="D244" s="9"/>
      <c r="E244" s="24" t="e">
        <f>_xlfn.XLOOKUP(C244,#REF!,#REF!)</f>
        <v>#REF!</v>
      </c>
      <c r="F244" s="18" t="e">
        <f>_xlfn.XLOOKUP(C244,#REF!,#REF!)</f>
        <v>#REF!</v>
      </c>
      <c r="G244" s="87">
        <v>1E-4</v>
      </c>
      <c r="H244" s="42" t="e">
        <f t="shared" si="35"/>
        <v>#REF!</v>
      </c>
      <c r="I244" s="97" t="e">
        <f>_xlfn.XLOOKUP(B244,#REF!,#REF!)</f>
        <v>#REF!</v>
      </c>
      <c r="J244" s="22" t="e">
        <f t="shared" si="36"/>
        <v>#REF!</v>
      </c>
      <c r="K244" s="73" t="e">
        <f t="shared" si="37"/>
        <v>#REF!</v>
      </c>
      <c r="L244" s="18"/>
      <c r="M244" s="215"/>
      <c r="N244" s="215"/>
      <c r="O244" s="215"/>
      <c r="P244" s="215"/>
      <c r="Q244" s="214"/>
    </row>
    <row r="245" spans="1:17" ht="16" x14ac:dyDescent="0.2">
      <c r="A245" s="18">
        <v>34</v>
      </c>
      <c r="B245" s="18" t="e">
        <f>_xlfn.XLOOKUP(C245,#REF!,#REF!)</f>
        <v>#REF!</v>
      </c>
      <c r="C245" s="20" t="s">
        <v>110</v>
      </c>
      <c r="D245" s="9"/>
      <c r="E245" s="24" t="e">
        <f>_xlfn.XLOOKUP(C245,#REF!,#REF!)</f>
        <v>#REF!</v>
      </c>
      <c r="F245" s="18" t="e">
        <f>_xlfn.XLOOKUP(C245,#REF!,#REF!)</f>
        <v>#REF!</v>
      </c>
      <c r="G245" s="87">
        <v>1.6699999999999999E-5</v>
      </c>
      <c r="H245" s="42" t="e">
        <f t="shared" si="35"/>
        <v>#REF!</v>
      </c>
      <c r="I245" s="97" t="e">
        <f>_xlfn.XLOOKUP(B245,#REF!,#REF!)</f>
        <v>#REF!</v>
      </c>
      <c r="J245" s="22" t="e">
        <f t="shared" si="36"/>
        <v>#REF!</v>
      </c>
      <c r="K245" s="73" t="e">
        <f t="shared" si="37"/>
        <v>#REF!</v>
      </c>
      <c r="L245" s="18"/>
      <c r="M245" s="215"/>
      <c r="N245" s="215"/>
      <c r="O245" s="215"/>
      <c r="P245" s="215"/>
      <c r="Q245" s="214"/>
    </row>
    <row r="246" spans="1:17" ht="16" x14ac:dyDescent="0.2">
      <c r="A246" s="18">
        <v>35</v>
      </c>
      <c r="B246" s="18" t="e">
        <f>_xlfn.XLOOKUP(C246,#REF!,#REF!)</f>
        <v>#REF!</v>
      </c>
      <c r="C246" s="20" t="s">
        <v>152</v>
      </c>
      <c r="D246" s="9"/>
      <c r="E246" s="24" t="e">
        <f>_xlfn.XLOOKUP(C246,#REF!,#REF!)</f>
        <v>#REF!</v>
      </c>
      <c r="F246" s="18" t="e">
        <f>_xlfn.XLOOKUP(C246,#REF!,#REF!)</f>
        <v>#REF!</v>
      </c>
      <c r="G246" s="87">
        <v>2.5000000000000001E-4</v>
      </c>
      <c r="H246" s="42" t="e">
        <f t="shared" si="35"/>
        <v>#REF!</v>
      </c>
      <c r="I246" s="97" t="e">
        <f>_xlfn.XLOOKUP(B246,#REF!,#REF!)</f>
        <v>#REF!</v>
      </c>
      <c r="J246" s="22" t="e">
        <f t="shared" si="36"/>
        <v>#REF!</v>
      </c>
      <c r="K246" s="73" t="e">
        <f t="shared" si="37"/>
        <v>#REF!</v>
      </c>
      <c r="L246" s="18"/>
      <c r="M246" s="215"/>
      <c r="N246" s="215"/>
      <c r="O246" s="215"/>
      <c r="P246" s="215"/>
      <c r="Q246" s="214"/>
    </row>
    <row r="247" spans="1:17" ht="16" x14ac:dyDescent="0.2">
      <c r="A247" s="18">
        <v>36</v>
      </c>
      <c r="B247" s="18" t="e">
        <f>_xlfn.XLOOKUP(C247,#REF!,#REF!)</f>
        <v>#REF!</v>
      </c>
      <c r="C247" s="20" t="s">
        <v>111</v>
      </c>
      <c r="D247" s="9"/>
      <c r="E247" s="24" t="e">
        <f>_xlfn.XLOOKUP(C247,#REF!,#REF!)</f>
        <v>#REF!</v>
      </c>
      <c r="F247" s="18" t="e">
        <f>_xlfn.XLOOKUP(C247,#REF!,#REF!)</f>
        <v>#REF!</v>
      </c>
      <c r="G247" s="87">
        <v>3.4750000000000004E-4</v>
      </c>
      <c r="H247" s="42" t="e">
        <f t="shared" si="35"/>
        <v>#REF!</v>
      </c>
      <c r="I247" s="97" t="e">
        <f>_xlfn.XLOOKUP(B247,#REF!,#REF!)</f>
        <v>#REF!</v>
      </c>
      <c r="J247" s="22" t="e">
        <f t="shared" si="36"/>
        <v>#REF!</v>
      </c>
      <c r="K247" s="73" t="e">
        <f t="shared" si="37"/>
        <v>#REF!</v>
      </c>
      <c r="L247" s="18"/>
      <c r="M247" s="215"/>
      <c r="N247" s="215"/>
      <c r="O247" s="215"/>
      <c r="P247" s="215"/>
      <c r="Q247" s="214"/>
    </row>
    <row r="248" spans="1:17" ht="16" x14ac:dyDescent="0.2">
      <c r="A248" s="18">
        <v>37</v>
      </c>
      <c r="B248" s="18" t="e">
        <f>_xlfn.XLOOKUP(C248,#REF!,#REF!)</f>
        <v>#REF!</v>
      </c>
      <c r="C248" s="20" t="s">
        <v>112</v>
      </c>
      <c r="D248" s="9"/>
      <c r="E248" s="24" t="e">
        <f>_xlfn.XLOOKUP(C248,#REF!,#REF!)</f>
        <v>#REF!</v>
      </c>
      <c r="F248" s="18" t="e">
        <f>_xlfn.XLOOKUP(C248,#REF!,#REF!)</f>
        <v>#REF!</v>
      </c>
      <c r="G248" s="87">
        <v>1.4249999999999998E-3</v>
      </c>
      <c r="H248" s="42" t="e">
        <f t="shared" si="35"/>
        <v>#REF!</v>
      </c>
      <c r="I248" s="97" t="e">
        <f>_xlfn.XLOOKUP(B248,#REF!,#REF!)</f>
        <v>#REF!</v>
      </c>
      <c r="J248" s="22" t="e">
        <f t="shared" si="36"/>
        <v>#REF!</v>
      </c>
      <c r="K248" s="73" t="e">
        <f t="shared" si="37"/>
        <v>#REF!</v>
      </c>
      <c r="L248" s="18"/>
      <c r="M248" s="215"/>
      <c r="N248" s="215"/>
      <c r="O248" s="215"/>
      <c r="P248" s="215"/>
      <c r="Q248" s="214"/>
    </row>
    <row r="249" spans="1:17" ht="16" x14ac:dyDescent="0.2">
      <c r="A249" s="18">
        <v>38</v>
      </c>
      <c r="B249" s="18" t="e">
        <f>_xlfn.XLOOKUP(C249,#REF!,#REF!)</f>
        <v>#REF!</v>
      </c>
      <c r="C249" s="20" t="s">
        <v>161</v>
      </c>
      <c r="D249" s="9"/>
      <c r="E249" s="24" t="e">
        <f>_xlfn.XLOOKUP(C249,#REF!,#REF!)</f>
        <v>#REF!</v>
      </c>
      <c r="F249" s="18" t="e">
        <f>_xlfn.XLOOKUP(C249,#REF!,#REF!)</f>
        <v>#REF!</v>
      </c>
      <c r="G249" s="87">
        <v>0.1021667</v>
      </c>
      <c r="H249" s="42" t="e">
        <f t="shared" si="35"/>
        <v>#REF!</v>
      </c>
      <c r="I249" s="97" t="e">
        <f>_xlfn.XLOOKUP(B249,#REF!,#REF!)</f>
        <v>#REF!</v>
      </c>
      <c r="J249" s="22" t="e">
        <f t="shared" si="36"/>
        <v>#REF!</v>
      </c>
      <c r="K249" s="73" t="e">
        <f t="shared" si="37"/>
        <v>#REF!</v>
      </c>
      <c r="L249" s="18"/>
      <c r="M249" s="215"/>
      <c r="N249" s="215"/>
      <c r="O249" s="215"/>
      <c r="P249" s="215"/>
      <c r="Q249" s="214"/>
    </row>
    <row r="250" spans="1:17" ht="16" x14ac:dyDescent="0.2">
      <c r="A250" s="18">
        <v>39</v>
      </c>
      <c r="B250" s="18" t="e">
        <f>_xlfn.XLOOKUP(C250,#REF!,#REF!)</f>
        <v>#REF!</v>
      </c>
      <c r="C250" s="20" t="s">
        <v>164</v>
      </c>
      <c r="D250" s="9"/>
      <c r="E250" s="24" t="e">
        <f>_xlfn.XLOOKUP(C250,#REF!,#REF!)</f>
        <v>#REF!</v>
      </c>
      <c r="F250" s="18" t="e">
        <f>_xlfn.XLOOKUP(C250,#REF!,#REF!)</f>
        <v>#REF!</v>
      </c>
      <c r="G250" s="87">
        <v>0.05</v>
      </c>
      <c r="H250" s="42" t="e">
        <f t="shared" si="35"/>
        <v>#REF!</v>
      </c>
      <c r="I250" s="97" t="e">
        <f>_xlfn.XLOOKUP(B250,#REF!,#REF!)</f>
        <v>#REF!</v>
      </c>
      <c r="J250" s="22" t="e">
        <f t="shared" si="36"/>
        <v>#REF!</v>
      </c>
      <c r="K250" s="73" t="e">
        <f t="shared" si="37"/>
        <v>#REF!</v>
      </c>
      <c r="L250" s="18"/>
      <c r="M250" s="215"/>
      <c r="N250" s="215"/>
      <c r="O250" s="215"/>
      <c r="P250" s="215"/>
      <c r="Q250" s="214"/>
    </row>
    <row r="251" spans="1:17" ht="16" x14ac:dyDescent="0.2">
      <c r="A251" s="18">
        <v>40</v>
      </c>
      <c r="B251" s="18" t="e">
        <f>_xlfn.XLOOKUP(C251,#REF!,#REF!)</f>
        <v>#REF!</v>
      </c>
      <c r="C251" s="20" t="s">
        <v>171</v>
      </c>
      <c r="D251" s="9"/>
      <c r="E251" s="24" t="e">
        <f>_xlfn.XLOOKUP(C251,#REF!,#REF!)</f>
        <v>#REF!</v>
      </c>
      <c r="F251" s="18" t="e">
        <f>_xlfn.XLOOKUP(C251,#REF!,#REF!)</f>
        <v>#REF!</v>
      </c>
      <c r="G251" s="87">
        <v>5.0000000000000002E-5</v>
      </c>
      <c r="H251" s="42" t="e">
        <f t="shared" si="35"/>
        <v>#REF!</v>
      </c>
      <c r="I251" s="97" t="e">
        <f>_xlfn.XLOOKUP(B251,#REF!,#REF!)</f>
        <v>#REF!</v>
      </c>
      <c r="J251" s="22" t="e">
        <f t="shared" si="36"/>
        <v>#REF!</v>
      </c>
      <c r="K251" s="73" t="e">
        <f t="shared" si="37"/>
        <v>#REF!</v>
      </c>
      <c r="L251" s="18"/>
      <c r="M251" s="215"/>
      <c r="N251" s="215"/>
      <c r="O251" s="215"/>
      <c r="P251" s="215"/>
      <c r="Q251" s="214"/>
    </row>
    <row r="252" spans="1:17" ht="16" x14ac:dyDescent="0.2">
      <c r="A252" s="18">
        <v>41</v>
      </c>
      <c r="B252" s="18" t="e">
        <f>_xlfn.XLOOKUP(C252,#REF!,#REF!)</f>
        <v>#REF!</v>
      </c>
      <c r="C252" s="20" t="s">
        <v>114</v>
      </c>
      <c r="D252" s="9"/>
      <c r="E252" s="24" t="e">
        <f>_xlfn.XLOOKUP(C252,#REF!,#REF!)</f>
        <v>#REF!</v>
      </c>
      <c r="F252" s="18" t="e">
        <f>_xlfn.XLOOKUP(C252,#REF!,#REF!)</f>
        <v>#REF!</v>
      </c>
      <c r="G252" s="87">
        <v>3.2499999999999999E-4</v>
      </c>
      <c r="H252" s="42" t="e">
        <f t="shared" si="35"/>
        <v>#REF!</v>
      </c>
      <c r="I252" s="97" t="e">
        <f>_xlfn.XLOOKUP(B252,#REF!,#REF!)</f>
        <v>#REF!</v>
      </c>
      <c r="J252" s="22" t="e">
        <f t="shared" si="36"/>
        <v>#REF!</v>
      </c>
      <c r="K252" s="73" t="e">
        <f t="shared" si="37"/>
        <v>#REF!</v>
      </c>
      <c r="L252" s="18"/>
      <c r="M252" s="215"/>
      <c r="N252" s="215"/>
      <c r="O252" s="215"/>
      <c r="P252" s="215"/>
      <c r="Q252" s="214"/>
    </row>
    <row r="253" spans="1:17" ht="16" x14ac:dyDescent="0.2">
      <c r="A253" s="18">
        <v>42</v>
      </c>
      <c r="B253" s="18" t="e">
        <f>_xlfn.XLOOKUP(C253,#REF!,#REF!)</f>
        <v>#REF!</v>
      </c>
      <c r="C253" s="20" t="s">
        <v>186</v>
      </c>
      <c r="D253" s="9"/>
      <c r="E253" s="24" t="e">
        <f>_xlfn.XLOOKUP(C253,#REF!,#REF!)</f>
        <v>#REF!</v>
      </c>
      <c r="F253" s="18" t="e">
        <f>_xlfn.XLOOKUP(C253,#REF!,#REF!)</f>
        <v>#REF!</v>
      </c>
      <c r="G253" s="87">
        <v>4.9999999999999998E-7</v>
      </c>
      <c r="H253" s="42" t="e">
        <f t="shared" si="35"/>
        <v>#REF!</v>
      </c>
      <c r="I253" s="97" t="e">
        <f>_xlfn.XLOOKUP(B253,#REF!,#REF!)</f>
        <v>#REF!</v>
      </c>
      <c r="J253" s="22" t="e">
        <f t="shared" si="36"/>
        <v>#REF!</v>
      </c>
      <c r="K253" s="73" t="e">
        <f t="shared" si="37"/>
        <v>#REF!</v>
      </c>
      <c r="L253" s="18"/>
      <c r="M253" s="215"/>
      <c r="N253" s="215"/>
      <c r="O253" s="215"/>
      <c r="P253" s="215"/>
      <c r="Q253" s="214"/>
    </row>
    <row r="254" spans="1:17" ht="16" x14ac:dyDescent="0.2">
      <c r="A254" s="18">
        <v>43</v>
      </c>
      <c r="B254" s="18" t="e">
        <f>_xlfn.XLOOKUP(C254,#REF!,#REF!)</f>
        <v>#REF!</v>
      </c>
      <c r="C254" s="20" t="s">
        <v>115</v>
      </c>
      <c r="D254" s="9"/>
      <c r="E254" s="24" t="e">
        <f>_xlfn.XLOOKUP(C254,#REF!,#REF!)</f>
        <v>#REF!</v>
      </c>
      <c r="F254" s="18" t="e">
        <f>_xlfn.XLOOKUP(C254,#REF!,#REF!)</f>
        <v>#REF!</v>
      </c>
      <c r="G254" s="87">
        <v>6.9999999999999997E-7</v>
      </c>
      <c r="H254" s="42" t="e">
        <f t="shared" si="35"/>
        <v>#REF!</v>
      </c>
      <c r="I254" s="97" t="e">
        <f>_xlfn.XLOOKUP(B254,#REF!,#REF!)</f>
        <v>#REF!</v>
      </c>
      <c r="J254" s="22" t="e">
        <f t="shared" si="36"/>
        <v>#REF!</v>
      </c>
      <c r="K254" s="73" t="e">
        <f t="shared" si="37"/>
        <v>#REF!</v>
      </c>
      <c r="L254" s="18"/>
      <c r="M254" s="215"/>
      <c r="N254" s="215"/>
      <c r="O254" s="215"/>
      <c r="P254" s="215"/>
      <c r="Q254" s="214"/>
    </row>
    <row r="255" spans="1:17" ht="16" x14ac:dyDescent="0.2">
      <c r="A255" s="18">
        <v>44</v>
      </c>
      <c r="B255" s="18" t="e">
        <f>_xlfn.XLOOKUP(C255,#REF!,#REF!)</f>
        <v>#REF!</v>
      </c>
      <c r="C255" s="20" t="s">
        <v>113</v>
      </c>
      <c r="D255" s="9"/>
      <c r="E255" s="24" t="e">
        <f>_xlfn.XLOOKUP(C255,#REF!,#REF!)</f>
        <v>#REF!</v>
      </c>
      <c r="F255" s="18" t="e">
        <f>_xlfn.XLOOKUP(C255,#REF!,#REF!)</f>
        <v>#REF!</v>
      </c>
      <c r="G255" s="87">
        <v>0.15259999999999999</v>
      </c>
      <c r="H255" s="42" t="e">
        <f t="shared" si="35"/>
        <v>#REF!</v>
      </c>
      <c r="I255" s="97" t="e">
        <f>_xlfn.XLOOKUP(B255,#REF!,#REF!)</f>
        <v>#REF!</v>
      </c>
      <c r="J255" s="22" t="e">
        <f t="shared" si="36"/>
        <v>#REF!</v>
      </c>
      <c r="K255" s="73" t="e">
        <f t="shared" si="37"/>
        <v>#REF!</v>
      </c>
      <c r="L255" s="18"/>
      <c r="M255" s="215"/>
      <c r="N255" s="215"/>
      <c r="O255" s="215"/>
      <c r="P255" s="215"/>
      <c r="Q255" s="214"/>
    </row>
    <row r="256" spans="1:17" ht="16" x14ac:dyDescent="0.2">
      <c r="A256" s="18">
        <v>45</v>
      </c>
      <c r="B256" s="18" t="e">
        <f>_xlfn.XLOOKUP(C256,#REF!,#REF!)</f>
        <v>#REF!</v>
      </c>
      <c r="C256" s="20" t="s">
        <v>105</v>
      </c>
      <c r="D256" s="9"/>
      <c r="E256" s="24" t="e">
        <f>_xlfn.XLOOKUP(C256,#REF!,#REF!)</f>
        <v>#REF!</v>
      </c>
      <c r="F256" s="18" t="e">
        <f>_xlfn.XLOOKUP(C256,#REF!,#REF!)</f>
        <v>#REF!</v>
      </c>
      <c r="G256" s="87">
        <v>1.2999999999999999E-5</v>
      </c>
      <c r="H256" s="42" t="e">
        <f t="shared" si="35"/>
        <v>#REF!</v>
      </c>
      <c r="I256" s="97" t="e">
        <f>_xlfn.XLOOKUP(B256,#REF!,#REF!)</f>
        <v>#REF!</v>
      </c>
      <c r="J256" s="22" t="e">
        <f t="shared" si="36"/>
        <v>#REF!</v>
      </c>
      <c r="K256" s="73" t="e">
        <f t="shared" si="37"/>
        <v>#REF!</v>
      </c>
      <c r="L256" s="18"/>
      <c r="M256" s="215"/>
      <c r="N256" s="215"/>
      <c r="O256" s="215"/>
      <c r="P256" s="215"/>
      <c r="Q256" s="214"/>
    </row>
    <row r="257" spans="1:17" ht="16" x14ac:dyDescent="0.2">
      <c r="A257" s="18">
        <v>46</v>
      </c>
      <c r="B257" s="18" t="e">
        <f>_xlfn.XLOOKUP(C257,#REF!,#REF!)</f>
        <v>#REF!</v>
      </c>
      <c r="C257" s="20" t="s">
        <v>137</v>
      </c>
      <c r="D257" s="9"/>
      <c r="E257" s="24" t="e">
        <f>_xlfn.XLOOKUP(C257,#REF!,#REF!)</f>
        <v>#REF!</v>
      </c>
      <c r="F257" s="18" t="e">
        <f>_xlfn.XLOOKUP(C257,#REF!,#REF!)</f>
        <v>#REF!</v>
      </c>
      <c r="G257" s="87">
        <v>2.5000000000000001E-3</v>
      </c>
      <c r="H257" s="42" t="e">
        <f t="shared" si="35"/>
        <v>#REF!</v>
      </c>
      <c r="I257" s="97" t="e">
        <f>_xlfn.XLOOKUP(B257,#REF!,#REF!)</f>
        <v>#REF!</v>
      </c>
      <c r="J257" s="22" t="e">
        <f t="shared" si="36"/>
        <v>#REF!</v>
      </c>
      <c r="K257" s="73" t="e">
        <f t="shared" si="37"/>
        <v>#REF!</v>
      </c>
      <c r="L257" s="18"/>
      <c r="M257" s="215"/>
      <c r="N257" s="215"/>
      <c r="O257" s="215"/>
      <c r="P257" s="215"/>
      <c r="Q257" s="214"/>
    </row>
    <row r="258" spans="1:17" ht="16" x14ac:dyDescent="0.2">
      <c r="A258" s="18">
        <v>47</v>
      </c>
      <c r="B258" s="18" t="e">
        <f>_xlfn.XLOOKUP(C258,#REF!,#REF!)</f>
        <v>#REF!</v>
      </c>
      <c r="C258" s="20" t="s">
        <v>108</v>
      </c>
      <c r="D258" s="9"/>
      <c r="E258" s="24" t="e">
        <f>_xlfn.XLOOKUP(C258,#REF!,#REF!)</f>
        <v>#REF!</v>
      </c>
      <c r="F258" s="18" t="e">
        <f>_xlfn.XLOOKUP(C258,#REF!,#REF!)</f>
        <v>#REF!</v>
      </c>
      <c r="G258" s="87">
        <v>1.0116700000000001E-2</v>
      </c>
      <c r="H258" s="42" t="e">
        <f t="shared" si="35"/>
        <v>#REF!</v>
      </c>
      <c r="I258" s="97" t="e">
        <f>_xlfn.XLOOKUP(B258,#REF!,#REF!)</f>
        <v>#REF!</v>
      </c>
      <c r="J258" s="22" t="e">
        <f t="shared" si="36"/>
        <v>#REF!</v>
      </c>
      <c r="K258" s="73" t="e">
        <f t="shared" si="37"/>
        <v>#REF!</v>
      </c>
      <c r="L258" s="18"/>
      <c r="M258" s="215"/>
      <c r="N258" s="215"/>
      <c r="O258" s="215"/>
      <c r="P258" s="215"/>
      <c r="Q258" s="214"/>
    </row>
    <row r="259" spans="1:17" ht="16" x14ac:dyDescent="0.2">
      <c r="A259" s="18">
        <v>48</v>
      </c>
      <c r="B259" s="18" t="e">
        <f>_xlfn.XLOOKUP(C259,#REF!,#REF!)</f>
        <v>#REF!</v>
      </c>
      <c r="C259" s="20" t="s">
        <v>116</v>
      </c>
      <c r="D259" s="9"/>
      <c r="E259" s="24" t="e">
        <f>_xlfn.XLOOKUP(C259,#REF!,#REF!)</f>
        <v>#REF!</v>
      </c>
      <c r="F259" s="18" t="e">
        <f>_xlfn.XLOOKUP(C259,#REF!,#REF!)</f>
        <v>#REF!</v>
      </c>
      <c r="G259" s="87">
        <v>5.0000000000000002E-5</v>
      </c>
      <c r="H259" s="42" t="e">
        <f t="shared" si="35"/>
        <v>#REF!</v>
      </c>
      <c r="I259" s="97" t="e">
        <f>_xlfn.XLOOKUP(B259,#REF!,#REF!)</f>
        <v>#REF!</v>
      </c>
      <c r="J259" s="22" t="e">
        <f t="shared" si="36"/>
        <v>#REF!</v>
      </c>
      <c r="K259" s="73" t="e">
        <f t="shared" si="37"/>
        <v>#REF!</v>
      </c>
      <c r="L259" s="18"/>
      <c r="M259" s="215"/>
      <c r="N259" s="215"/>
      <c r="O259" s="215"/>
      <c r="P259" s="215"/>
      <c r="Q259" s="214"/>
    </row>
    <row r="260" spans="1:17" x14ac:dyDescent="0.2">
      <c r="A260" s="209" t="s">
        <v>64</v>
      </c>
      <c r="B260" s="210"/>
      <c r="C260" s="210"/>
      <c r="D260" s="210"/>
      <c r="E260" s="210"/>
      <c r="F260" s="211"/>
      <c r="G260" s="88">
        <f>SUM(G240:G259)</f>
        <v>0.32465339999999993</v>
      </c>
      <c r="H260" s="59" t="e">
        <f>SUM(H240:H259)</f>
        <v>#REF!</v>
      </c>
      <c r="I260" s="37"/>
      <c r="J260" s="37" t="e">
        <f>SUM(J240:J259)</f>
        <v>#REF!</v>
      </c>
      <c r="K260" s="38"/>
      <c r="L260" s="38"/>
      <c r="M260" s="109"/>
      <c r="N260" s="109"/>
      <c r="O260" s="109"/>
      <c r="P260" s="109"/>
      <c r="Q260" s="109"/>
    </row>
  </sheetData>
  <mergeCells count="155">
    <mergeCell ref="A209:D209"/>
    <mergeCell ref="E209:Q209"/>
    <mergeCell ref="A210:D210"/>
    <mergeCell ref="E210:Q210"/>
    <mergeCell ref="C211:D211"/>
    <mergeCell ref="A260:F260"/>
    <mergeCell ref="Q212:Q259"/>
    <mergeCell ref="P212:P259"/>
    <mergeCell ref="O212:O259"/>
    <mergeCell ref="N212:N220"/>
    <mergeCell ref="N221:N259"/>
    <mergeCell ref="M221:M259"/>
    <mergeCell ref="M212:M220"/>
    <mergeCell ref="A205:F205"/>
    <mergeCell ref="Q185:Q204"/>
    <mergeCell ref="P185:P204"/>
    <mergeCell ref="O185:O204"/>
    <mergeCell ref="N185:N188"/>
    <mergeCell ref="M185:M188"/>
    <mergeCell ref="M189:M204"/>
    <mergeCell ref="N189:N204"/>
    <mergeCell ref="A208:Q208"/>
    <mergeCell ref="A183:D183"/>
    <mergeCell ref="E183:Q183"/>
    <mergeCell ref="C184:D184"/>
    <mergeCell ref="Q166:Q177"/>
    <mergeCell ref="P166:P177"/>
    <mergeCell ref="O166:O177"/>
    <mergeCell ref="N166:N167"/>
    <mergeCell ref="M166:M167"/>
    <mergeCell ref="M168:M177"/>
    <mergeCell ref="N168:N177"/>
    <mergeCell ref="A162:Q162"/>
    <mergeCell ref="A163:D163"/>
    <mergeCell ref="E163:Q163"/>
    <mergeCell ref="A164:D164"/>
    <mergeCell ref="E164:Q164"/>
    <mergeCell ref="C165:D165"/>
    <mergeCell ref="A178:F178"/>
    <mergeCell ref="A181:Q181"/>
    <mergeCell ref="A182:D182"/>
    <mergeCell ref="E182:Q182"/>
    <mergeCell ref="A96:E96"/>
    <mergeCell ref="C115:D115"/>
    <mergeCell ref="A159:F159"/>
    <mergeCell ref="M116:M119"/>
    <mergeCell ref="A112:Q112"/>
    <mergeCell ref="A113:D113"/>
    <mergeCell ref="E113:Q113"/>
    <mergeCell ref="A114:D114"/>
    <mergeCell ref="E114:Q114"/>
    <mergeCell ref="A110:F110"/>
    <mergeCell ref="N116:N119"/>
    <mergeCell ref="M120:M158"/>
    <mergeCell ref="N120:N158"/>
    <mergeCell ref="O116:O158"/>
    <mergeCell ref="P116:P158"/>
    <mergeCell ref="Q116:Q158"/>
    <mergeCell ref="A93:E93"/>
    <mergeCell ref="P108:P109"/>
    <mergeCell ref="Q108:Q109"/>
    <mergeCell ref="E105:Q105"/>
    <mergeCell ref="E106:Q106"/>
    <mergeCell ref="D18:E18"/>
    <mergeCell ref="A106:D106"/>
    <mergeCell ref="C25:D25"/>
    <mergeCell ref="A78:D78"/>
    <mergeCell ref="A75:D75"/>
    <mergeCell ref="A76:D76"/>
    <mergeCell ref="A77:D77"/>
    <mergeCell ref="E23:Q23"/>
    <mergeCell ref="E48:Q48"/>
    <mergeCell ref="A84:F84"/>
    <mergeCell ref="A72:F72"/>
    <mergeCell ref="A45:F45"/>
    <mergeCell ref="N80:N83"/>
    <mergeCell ref="M80:M83"/>
    <mergeCell ref="O108:O109"/>
    <mergeCell ref="F18:G18"/>
    <mergeCell ref="A19:Q19"/>
    <mergeCell ref="A20:Q20"/>
    <mergeCell ref="A95:E95"/>
    <mergeCell ref="A1:B3"/>
    <mergeCell ref="A4:Q4"/>
    <mergeCell ref="A5:B5"/>
    <mergeCell ref="A6:B6"/>
    <mergeCell ref="A7:B7"/>
    <mergeCell ref="C1:O3"/>
    <mergeCell ref="A12:B12"/>
    <mergeCell ref="A13:B13"/>
    <mergeCell ref="A9:Q9"/>
    <mergeCell ref="A10:B10"/>
    <mergeCell ref="H10:I10"/>
    <mergeCell ref="A11:Q11"/>
    <mergeCell ref="C12:F12"/>
    <mergeCell ref="C13:F13"/>
    <mergeCell ref="C10:F10"/>
    <mergeCell ref="A16:B16"/>
    <mergeCell ref="A17:Q17"/>
    <mergeCell ref="A14:B14"/>
    <mergeCell ref="A15:B15"/>
    <mergeCell ref="A21:D21"/>
    <mergeCell ref="E21:Q21"/>
    <mergeCell ref="C14:F14"/>
    <mergeCell ref="C15:F15"/>
    <mergeCell ref="M96:Q96"/>
    <mergeCell ref="A18:B18"/>
    <mergeCell ref="H18:I18"/>
    <mergeCell ref="J18:Q18"/>
    <mergeCell ref="C16:F16"/>
    <mergeCell ref="C79:D79"/>
    <mergeCell ref="A51:D51"/>
    <mergeCell ref="E49:Q49"/>
    <mergeCell ref="E50:Q50"/>
    <mergeCell ref="E51:Q51"/>
    <mergeCell ref="C52:D52"/>
    <mergeCell ref="F94:L94"/>
    <mergeCell ref="F95:L95"/>
    <mergeCell ref="F96:L96"/>
    <mergeCell ref="E75:Q75"/>
    <mergeCell ref="F93:L93"/>
    <mergeCell ref="A22:D22"/>
    <mergeCell ref="E22:Q22"/>
    <mergeCell ref="A24:D24"/>
    <mergeCell ref="E24:Q24"/>
    <mergeCell ref="C107:D107"/>
    <mergeCell ref="A23:D23"/>
    <mergeCell ref="A74:Q74"/>
    <mergeCell ref="M93:Q93"/>
    <mergeCell ref="M94:Q94"/>
    <mergeCell ref="M95:Q95"/>
    <mergeCell ref="E76:Q76"/>
    <mergeCell ref="E77:Q77"/>
    <mergeCell ref="E78:Q78"/>
    <mergeCell ref="A47:Q47"/>
    <mergeCell ref="A48:D48"/>
    <mergeCell ref="A49:D49"/>
    <mergeCell ref="A50:D50"/>
    <mergeCell ref="A105:D105"/>
    <mergeCell ref="A97:D97"/>
    <mergeCell ref="A104:Q104"/>
    <mergeCell ref="A94:E94"/>
    <mergeCell ref="Q80:Q83"/>
    <mergeCell ref="P80:P83"/>
    <mergeCell ref="O80:O83"/>
    <mergeCell ref="M27:M43"/>
    <mergeCell ref="N26:N43"/>
    <mergeCell ref="O26:O43"/>
    <mergeCell ref="P26:P43"/>
    <mergeCell ref="Q26:Q43"/>
    <mergeCell ref="N53:N70"/>
    <mergeCell ref="O53:O70"/>
    <mergeCell ref="P53:P70"/>
    <mergeCell ref="Q53:Q70"/>
    <mergeCell ref="M54:M70"/>
  </mergeCells>
  <pageMargins left="0.7" right="0.7" top="0.75" bottom="0.75" header="0.3" footer="0.3"/>
  <pageSetup paperSize="9" scale="31" fitToHeight="0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E5BE580EE59C43BCEE6827CF9C7C62" ma:contentTypeVersion="13" ma:contentTypeDescription="Create a new document." ma:contentTypeScope="" ma:versionID="5020316ac92729d1e0cdd70a836c2b58">
  <xsd:schema xmlns:xsd="http://www.w3.org/2001/XMLSchema" xmlns:xs="http://www.w3.org/2001/XMLSchema" xmlns:p="http://schemas.microsoft.com/office/2006/metadata/properties" xmlns:ns2="aeba78a1-7b4f-448d-807a-d13075373f77" xmlns:ns3="618a1257-6ad1-4770-af41-720ca4d197b1" targetNamespace="http://schemas.microsoft.com/office/2006/metadata/properties" ma:root="true" ma:fieldsID="0945e5f3bab82f577b063301ca6dba13" ns2:_="" ns3:_="">
    <xsd:import namespace="aeba78a1-7b4f-448d-807a-d13075373f77"/>
    <xsd:import namespace="618a1257-6ad1-4770-af41-720ca4d197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ba78a1-7b4f-448d-807a-d13075373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0b5702a-a838-43bf-ac41-2474fde9f4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8a1257-6ad1-4770-af41-720ca4d197b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374cf4-4675-4585-a291-d36c7f2a8067}" ma:internalName="TaxCatchAll" ma:showField="CatchAllData" ma:web="618a1257-6ad1-4770-af41-720ca4d197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ba78a1-7b4f-448d-807a-d13075373f77">
      <Terms xmlns="http://schemas.microsoft.com/office/infopath/2007/PartnerControls"/>
    </lcf76f155ced4ddcb4097134ff3c332f>
    <TaxCatchAll xmlns="618a1257-6ad1-4770-af41-720ca4d197b1" xsi:nil="true"/>
  </documentManagement>
</p:properties>
</file>

<file path=customXml/itemProps1.xml><?xml version="1.0" encoding="utf-8"?>
<ds:datastoreItem xmlns:ds="http://schemas.openxmlformats.org/officeDocument/2006/customXml" ds:itemID="{14B19708-52EE-45A2-8012-ADA2BE33A7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FA85C2-7887-4B86-A8A3-8B601FC4EA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ba78a1-7b4f-448d-807a-d13075373f77"/>
    <ds:schemaRef ds:uri="618a1257-6ad1-4770-af41-720ca4d197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2C5863-B1BE-4F3F-9D04-0272973F64C7}">
  <ds:schemaRefs>
    <ds:schemaRef ds:uri="http://schemas.microsoft.com/office/2006/metadata/properties"/>
    <ds:schemaRef ds:uri="http://schemas.microsoft.com/office/infopath/2007/PartnerControls"/>
    <ds:schemaRef ds:uri="aeba78a1-7b4f-448d-807a-d13075373f77"/>
    <ds:schemaRef ds:uri="618a1257-6ad1-4770-af41-720ca4d197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SAAT 777 (ORI)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Kenny Lim</dc:creator>
  <cp:keywords/>
  <dc:description/>
  <cp:lastModifiedBy>Muhammad Isro</cp:lastModifiedBy>
  <cp:revision/>
  <dcterms:created xsi:type="dcterms:W3CDTF">2024-11-25T01:07:27Z</dcterms:created>
  <dcterms:modified xsi:type="dcterms:W3CDTF">2026-07-11T01:47:42Z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0x0101005EE5BE580EE59C43BCEE6827CF9C7C62</vt:lpwstr>
  </property>
</Properties>
</file>